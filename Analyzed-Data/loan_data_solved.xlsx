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chris\FROM ZERO TO DATA HERO\excel\excell portofoilo\"/>
    </mc:Choice>
  </mc:AlternateContent>
  <xr:revisionPtr revIDLastSave="0" documentId="13_ncr:1_{08FBCA46-D7A3-4ED5-AB52-ED2B1C73BEA2}" xr6:coauthVersionLast="47" xr6:coauthVersionMax="47" xr10:uidLastSave="{00000000-0000-0000-0000-000000000000}"/>
  <bookViews>
    <workbookView xWindow="-108" yWindow="-108" windowWidth="23256" windowHeight="13896" activeTab="2" xr2:uid="{4CF9B44B-C40A-46B0-9198-12DD83C62937}"/>
  </bookViews>
  <sheets>
    <sheet name="PRE.VISUAL" sheetId="1" r:id="rId1"/>
    <sheet name="DASHBOARD" sheetId="2" r:id="rId2"/>
    <sheet name="INSIGHTS" sheetId="3" r:id="rId3"/>
  </sheets>
  <definedNames>
    <definedName name="Slicer_Product_Name">#N/A</definedName>
    <definedName name="Timeline_Date">#N/A</definedName>
  </definedNames>
  <calcPr calcId="191029"/>
  <pivotCaches>
    <pivotCache cacheId="1083" r:id="rId4"/>
    <pivotCache cacheId="1086" r:id="rId5"/>
    <pivotCache cacheId="1092" r:id="rId6"/>
    <pivotCache cacheId="1095" r:id="rId7"/>
    <pivotCache cacheId="1098" r:id="rId8"/>
    <pivotCache cacheId="1104" r:id="rId9"/>
    <pivotCache cacheId="1107" r:id="rId10"/>
    <pivotCache cacheId="1110" r:id="rId11"/>
    <pivotCache cacheId="1113" r:id="rId12"/>
    <pivotCache cacheId="1116" r:id="rId13"/>
    <pivotCache cacheId="1119" r:id="rId14"/>
    <pivotCache cacheId="1122" r:id="rId15"/>
  </pivotCaches>
  <extLst>
    <ext xmlns:x14="http://schemas.microsoft.com/office/spreadsheetml/2009/9/main" uri="{876F7934-8845-4945-9796-88D515C7AA90}">
      <x14:pivotCaches>
        <pivotCache cacheId="107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7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a1042778-9a26-43db-9282-9692457bce1f" name="Branch" connection="Query - Branch"/>
          <x15:modelTable id="LoanDetails_4d402eb9-898f-4953-be6f-95ecd41da451" name="LoanDetails" connection="Query - LoanDetails"/>
          <x15:modelTable id="Products_0249dea1-3915-4421-a256-739a8f51ce60" name="Products" connection="Query - Products"/>
          <x15:modelTable id="Calendar" name="Calendar" connection="Connection"/>
        </x15:modelTables>
        <x15:modelRelationships>
          <x15:modelRelationship fromTable="LoanDetails" fromColumn="Branch ID" toTable="Branch" toColumn="Branch ID"/>
          <x15:modelRelationship fromTable="LoanDetails" fromColumn="Product ID" toTable="Products" toColumn="Product ID"/>
          <x15:modelRelationship fromTable="LoanDetails" fromColumn="Application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3" i="3" l="1"/>
  <c r="F12" i="3"/>
  <c r="F15" i="3"/>
  <c r="F4" i="3"/>
  <c r="F5" i="3" s="1"/>
  <c r="F9" i="3"/>
  <c r="F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32EF08-BE97-4965-A584-D0487522CBC6}" name="Connection" type="104" refreshedVersion="0" background="1">
    <extLst>
      <ext xmlns:x15="http://schemas.microsoft.com/office/spreadsheetml/2010/11/main" uri="{DE250136-89BD-433C-8126-D09CA5730AF9}">
        <x15:connection id="Calendar"/>
      </ext>
    </extLst>
  </connection>
  <connection id="2" xr16:uid="{95D212B4-152A-418C-9238-E623B433BA0C}" name="Query - Branch" description="Connection to the 'Branch' query in the workbook." type="100" refreshedVersion="8" minRefreshableVersion="5">
    <extLst>
      <ext xmlns:x15="http://schemas.microsoft.com/office/spreadsheetml/2010/11/main" uri="{DE250136-89BD-433C-8126-D09CA5730AF9}">
        <x15:connection id="f9124095-d368-4bbe-9344-c8952b00699d"/>
      </ext>
    </extLst>
  </connection>
  <connection id="3" xr16:uid="{4606B831-C99A-491E-8448-4B1D6EC60AC7}" name="Query - LoanDetails" description="Connection to the 'LoanDetails' query in the workbook." type="100" refreshedVersion="8" minRefreshableVersion="5">
    <extLst>
      <ext xmlns:x15="http://schemas.microsoft.com/office/spreadsheetml/2010/11/main" uri="{DE250136-89BD-433C-8126-D09CA5730AF9}">
        <x15:connection id="246f2104-57f1-4812-a1b4-b76baa18ece9"/>
      </ext>
    </extLst>
  </connection>
  <connection id="4" xr16:uid="{94A8EB7C-4B6E-4D90-8575-F5E6E7AADBF6}" name="Query - Products" description="Connection to the 'Products' query in the workbook." type="100" refreshedVersion="8" minRefreshableVersion="5">
    <extLst>
      <ext xmlns:x15="http://schemas.microsoft.com/office/spreadsheetml/2010/11/main" uri="{DE250136-89BD-433C-8126-D09CA5730AF9}">
        <x15:connection id="1559a481-4611-4439-a345-e2dbc87dc129"/>
      </ext>
    </extLst>
  </connection>
  <connection id="5" xr16:uid="{A92EFCFD-794C-492E-A4E5-6C4A076982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Calendar].[Year].[All]}"/>
  </metadataStrings>
  <mdxMetadata count="1">
    <mdx n="0" f="s">
      <ms ns="1" c="0"/>
    </mdx>
  </mdxMetadata>
  <valueMetadata count="1">
    <bk>
      <rc t="1" v="0"/>
    </bk>
  </valueMetadata>
</metadata>
</file>

<file path=xl/sharedStrings.xml><?xml version="1.0" encoding="utf-8"?>
<sst xmlns="http://schemas.openxmlformats.org/spreadsheetml/2006/main" count="147" uniqueCount="113">
  <si>
    <t>CARDS</t>
  </si>
  <si>
    <t>CHARTS</t>
  </si>
  <si>
    <t>Sum of Loan Amount</t>
  </si>
  <si>
    <t>TOTAL SALES</t>
  </si>
  <si>
    <t>TOTAL REQUESTED AMOUNT</t>
  </si>
  <si>
    <t>Count of Transaction ID</t>
  </si>
  <si>
    <t>NUMBER OF CASES</t>
  </si>
  <si>
    <t>Total NotApproved Loan</t>
  </si>
  <si>
    <t>Row Labels</t>
  </si>
  <si>
    <t>Angelastad</t>
  </si>
  <si>
    <t>East Carrie</t>
  </si>
  <si>
    <t>East Jenniferfort</t>
  </si>
  <si>
    <t>Franciscoport</t>
  </si>
  <si>
    <t>Hernandezhaven</t>
  </si>
  <si>
    <t>Marciaville</t>
  </si>
  <si>
    <t>North Phillip</t>
  </si>
  <si>
    <t>Porterton</t>
  </si>
  <si>
    <t>West Sarah</t>
  </si>
  <si>
    <t>Williamhaven</t>
  </si>
  <si>
    <t>Grand Total</t>
  </si>
  <si>
    <t>Auto Loan</t>
  </si>
  <si>
    <t>Business Loan</t>
  </si>
  <si>
    <t>Education Loan</t>
  </si>
  <si>
    <t>Home Loan</t>
  </si>
  <si>
    <t>Personal Loan</t>
  </si>
  <si>
    <t>EMP11</t>
  </si>
  <si>
    <t>EMP13</t>
  </si>
  <si>
    <t>EMP14</t>
  </si>
  <si>
    <t>EMP15</t>
  </si>
  <si>
    <t>EMP17</t>
  </si>
  <si>
    <t>EMP18</t>
  </si>
  <si>
    <t>EMP19</t>
  </si>
  <si>
    <t>EMP2</t>
  </si>
  <si>
    <t>EMP20</t>
  </si>
  <si>
    <t>EMP5</t>
  </si>
  <si>
    <t>EMP6</t>
  </si>
  <si>
    <t>EMP9</t>
  </si>
  <si>
    <t>TOP 5 SALES OFFICERS</t>
  </si>
  <si>
    <t>SALES PER PRODUCT</t>
  </si>
  <si>
    <t>SALES PER BRANCH</t>
  </si>
  <si>
    <t>Year</t>
  </si>
  <si>
    <t>All</t>
  </si>
  <si>
    <t>January</t>
  </si>
  <si>
    <t>February</t>
  </si>
  <si>
    <t>March</t>
  </si>
  <si>
    <t>April</t>
  </si>
  <si>
    <t>May</t>
  </si>
  <si>
    <t>June</t>
  </si>
  <si>
    <t>July</t>
  </si>
  <si>
    <t>August</t>
  </si>
  <si>
    <t>September</t>
  </si>
  <si>
    <t>October</t>
  </si>
  <si>
    <t>November</t>
  </si>
  <si>
    <t>December</t>
  </si>
  <si>
    <t>NO. OF CASES PER MONTH</t>
  </si>
  <si>
    <t>Average of Work Efficiency</t>
  </si>
  <si>
    <t>TOP 10 EFFICIENT SALES OFFICERS</t>
  </si>
  <si>
    <t>DASHBOARD | LOAN PERFORMANCE &amp; OPERATIONS</t>
  </si>
  <si>
    <t>TOTAL DISBURSED LOAN</t>
  </si>
  <si>
    <t>Story</t>
  </si>
  <si>
    <t>Business Question</t>
  </si>
  <si>
    <t>Filter / Period</t>
  </si>
  <si>
    <t>Metric</t>
  </si>
  <si>
    <t>Value</t>
  </si>
  <si>
    <t>Insight</t>
  </si>
  <si>
    <t>Growth Over Time</t>
  </si>
  <si>
    <t>How does loan activity change over time?</t>
  </si>
  <si>
    <t>Loan Amount</t>
  </si>
  <si>
    <t>Approval Gap</t>
  </si>
  <si>
    <t>Are high-volume officers also efficient?</t>
  </si>
  <si>
    <t>Top 5</t>
  </si>
  <si>
    <t>Are approved loans processed within SLA?</t>
  </si>
  <si>
    <t>Approved</t>
  </si>
  <si>
    <t>Officer Performnce</t>
  </si>
  <si>
    <t>Processig Efficiency</t>
  </si>
  <si>
    <t>From Request to Disbursement</t>
  </si>
  <si>
    <t>How much of the requested loan amount is actually disbursed?</t>
  </si>
  <si>
    <t>Total Disbursed Loan Amount</t>
  </si>
  <si>
    <t>Total Requested Loan Amount</t>
  </si>
  <si>
    <t>Only 11% of the total requested loan amount was ultimately disbursed.</t>
  </si>
  <si>
    <t>No. Of Approved Applications</t>
  </si>
  <si>
    <t>No. Of Not Approved Applications</t>
  </si>
  <si>
    <t>Approved Applications</t>
  </si>
  <si>
    <t>Not Approved Applications</t>
  </si>
  <si>
    <t>Approval Rate%</t>
  </si>
  <si>
    <t>Disbursement Rate%</t>
  </si>
  <si>
    <t>55% of applications were approved, but only 11% of the requested amount was ultimately disbursed.</t>
  </si>
  <si>
    <t>Approval Gap%</t>
  </si>
  <si>
    <t>Number of Applications</t>
  </si>
  <si>
    <t>-Application volume increased: Applications increased from 492 in 2023 to 507 in 2024 (+3.0%).
-Requested amount increased: Total requested loan amount increased from 169.66M to 175.47M (+3.4%).
-Loan amount remained stable: Total Loan Amount was almost unchanged, moving from 19.29M in 2023 to 19.22M in 2024 (-0.4%), despite the increase in applications and requested amounts.</t>
  </si>
  <si>
    <t>work efficiency</t>
  </si>
  <si>
    <t>Average TAT</t>
  </si>
  <si>
    <t>Average SLA</t>
  </si>
  <si>
    <t>TAT = Turnaround Time/SLA = Service Level Agreement</t>
  </si>
  <si>
    <t>5 days</t>
  </si>
  <si>
    <t>5.0679 days</t>
  </si>
  <si>
    <t xml:space="preserve">Approved loans had an average TAT of 5.07 days compared with an average SLA of 5 days,
indicating that processing time was slightly above the target on average  </t>
  </si>
  <si>
    <r>
      <t xml:space="preserve">-EMP15 had the highest Loan Amount among the top 5 officers at 2.27M, with a Work Efficiency of 0.7.
-EMP9 had the highest Work Efficiency among the top 5 at 0.9, while handling 2.00M in Loan Amount.
-Loan volume did not consistently correspond to higher Work Efficiency: the top 5 officers had Work Efficiency values ranging from 0.4 to 0.9 despite all having relatively high Loan Amounts.                         </t>
    </r>
    <r>
      <rPr>
        <b/>
        <sz val="11"/>
        <color rgb="FF94264B"/>
        <rFont val="Calibri Light"/>
        <family val="2"/>
        <scheme val="minor"/>
      </rPr>
      <t xml:space="preserve"> ---Among the top 5 officers by Loan Amount, Work Efficiency varied from 0.4 to 0.9, indicating differences in processing efficiency across high-volume officers.</t>
    </r>
  </si>
  <si>
    <t>TAT Variance %</t>
  </si>
  <si>
    <t>Branch Performance</t>
  </si>
  <si>
    <t>Product Analysis</t>
  </si>
  <si>
    <t>Monthly Loan Activity</t>
  </si>
  <si>
    <t>How is loan activity distributed across products?</t>
  </si>
  <si>
    <t>How does loan activity vary by month?</t>
  </si>
  <si>
    <t>Loan Amount by Branch</t>
  </si>
  <si>
    <t>Loan Amount by Product</t>
  </si>
  <si>
    <t>Number of Cases by Month</t>
  </si>
  <si>
    <t>Top 10</t>
  </si>
  <si>
    <t>Loan activity varied across branches, with Hernandezhaven recording the highest Loan Amount at 4.36M,
while East Carrie recorded the lowest among the top 10 branches at 3.38M.</t>
  </si>
  <si>
    <t>Which branches have the highest and the least loan activity?</t>
  </si>
  <si>
    <t>Personal Loan had the highest Loan Amount at 8.24M, while Home Loan had the lowest at 6.68M.</t>
  </si>
  <si>
    <t>12 months</t>
  </si>
  <si>
    <t>Monthly activity ranged from 70 to 94 cases, 
with the highest volume in March and December and the lowest in 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</si>
</sst>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1" x14ac:knownFonts="1">
    <font>
      <sz val="11"/>
      <color theme="1"/>
      <name val="Calibri Light"/>
      <family val="2"/>
      <scheme val="minor"/>
    </font>
    <font>
      <sz val="11"/>
      <color theme="1"/>
      <name val="Calibri Light"/>
      <family val="2"/>
      <scheme val="minor"/>
    </font>
    <font>
      <b/>
      <sz val="11"/>
      <color theme="1"/>
      <name val="Calibri Light"/>
      <family val="2"/>
      <scheme val="minor"/>
    </font>
    <font>
      <sz val="11"/>
      <color theme="5" tint="0.79998168889431442"/>
      <name val="Calibri Light"/>
      <family val="2"/>
      <scheme val="minor"/>
    </font>
    <font>
      <b/>
      <sz val="20"/>
      <color theme="1"/>
      <name val="Calibri Light"/>
      <family val="2"/>
      <scheme val="minor"/>
    </font>
    <font>
      <b/>
      <sz val="16"/>
      <color rgb="FFF7F9FC"/>
      <name val="Bahnschrift SemiLight SemiConde"/>
      <family val="2"/>
    </font>
    <font>
      <b/>
      <sz val="11"/>
      <color rgb="FFF7F9FC"/>
      <name val="Calibri Light"/>
      <family val="2"/>
      <scheme val="minor"/>
    </font>
    <font>
      <b/>
      <sz val="11"/>
      <color rgb="FF3F3F3F"/>
      <name val="Calibri Light"/>
      <family val="2"/>
      <scheme val="minor"/>
    </font>
    <font>
      <b/>
      <sz val="11"/>
      <color theme="3" tint="0.249977111117893"/>
      <name val="Calibri Light"/>
      <family val="2"/>
      <scheme val="minor"/>
    </font>
    <font>
      <sz val="11"/>
      <color theme="3" tint="0.249977111117893"/>
      <name val="Calibri Light"/>
      <family val="2"/>
      <scheme val="minor"/>
    </font>
    <font>
      <b/>
      <sz val="11"/>
      <color rgb="FF94264B"/>
      <name val="Calibri Light"/>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1" tint="0.249977111117893"/>
        <bgColor indexed="64"/>
      </patternFill>
    </fill>
    <fill>
      <patternFill patternType="solid">
        <fgColor theme="0"/>
        <bgColor indexed="64"/>
      </patternFill>
    </fill>
    <fill>
      <patternFill patternType="solid">
        <fgColor rgb="FFF2F2F2"/>
      </patternFill>
    </fill>
  </fills>
  <borders count="8">
    <border>
      <left/>
      <right/>
      <top/>
      <bottom/>
      <diagonal/>
    </border>
    <border>
      <left style="medium">
        <color theme="8" tint="-0.499984740745262"/>
      </left>
      <right/>
      <top style="medium">
        <color theme="8" tint="-0.499984740745262"/>
      </top>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bottom style="medium">
        <color theme="8" tint="-0.499984740745262"/>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5" borderId="7" applyNumberFormat="0" applyAlignment="0" applyProtection="0"/>
  </cellStyleXfs>
  <cellXfs count="39">
    <xf numFmtId="0" fontId="0" fillId="0" borderId="0" xfId="0"/>
    <xf numFmtId="0" fontId="0" fillId="0" borderId="0" xfId="0" applyAlignment="1">
      <alignment horizontal="center" vertical="center"/>
    </xf>
    <xf numFmtId="0" fontId="0" fillId="0" borderId="0" xfId="0" pivotButton="1"/>
    <xf numFmtId="43" fontId="0" fillId="0" borderId="0" xfId="1" applyFont="1"/>
    <xf numFmtId="0" fontId="0" fillId="0" borderId="0" xfId="0" applyAlignment="1">
      <alignment horizontal="left"/>
    </xf>
    <xf numFmtId="43" fontId="0" fillId="0" borderId="0" xfId="1" applyFont="1" applyAlignment="1">
      <alignment horizontal="center" vertical="center"/>
    </xf>
    <xf numFmtId="0" fontId="3" fillId="3" borderId="0" xfId="0" applyFont="1" applyFill="1"/>
    <xf numFmtId="164" fontId="0" fillId="0" borderId="0" xfId="0" applyNumberFormat="1" applyAlignment="1">
      <alignment horizontal="center" vertical="center"/>
    </xf>
    <xf numFmtId="165" fontId="0" fillId="0" borderId="0" xfId="0" applyNumberFormat="1"/>
    <xf numFmtId="43" fontId="6" fillId="4" borderId="0" xfId="1" applyFont="1" applyFill="1" applyAlignment="1">
      <alignment vertical="center"/>
    </xf>
    <xf numFmtId="0" fontId="5" fillId="3" borderId="0" xfId="0" applyFont="1" applyFill="1" applyAlignment="1">
      <alignment horizontal="center" vertical="center"/>
    </xf>
    <xf numFmtId="43" fontId="2" fillId="2" borderId="0" xfId="1" applyFont="1" applyFill="1" applyAlignment="1">
      <alignment horizontal="center" vertical="center"/>
    </xf>
    <xf numFmtId="0" fontId="4"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0" xfId="0" applyNumberFormat="1"/>
    <xf numFmtId="164" fontId="0" fillId="0" borderId="0" xfId="0" applyNumberFormat="1"/>
    <xf numFmtId="0" fontId="5" fillId="3" borderId="0" xfId="0" applyFont="1" applyFill="1" applyAlignment="1">
      <alignment vertical="center"/>
    </xf>
    <xf numFmtId="0" fontId="7" fillId="5" borderId="7" xfId="3" applyAlignment="1">
      <alignment horizontal="left" vertical="top"/>
    </xf>
    <xf numFmtId="49" fontId="8" fillId="0" borderId="0" xfId="0" applyNumberFormat="1" applyFont="1" applyAlignment="1">
      <alignment horizontal="left" vertical="top" wrapText="1"/>
    </xf>
    <xf numFmtId="49" fontId="9" fillId="0" borderId="0" xfId="0" applyNumberFormat="1" applyFont="1"/>
    <xf numFmtId="0" fontId="7" fillId="5" borderId="7" xfId="3" applyAlignment="1">
      <alignment horizontal="left" vertical="top" wrapText="1"/>
    </xf>
    <xf numFmtId="49" fontId="8" fillId="5" borderId="7" xfId="3" applyNumberFormat="1" applyFont="1" applyAlignment="1">
      <alignment horizontal="left" vertical="top" wrapText="1"/>
    </xf>
    <xf numFmtId="0" fontId="8" fillId="5" borderId="7" xfId="3" applyFont="1" applyAlignment="1">
      <alignment horizontal="left" vertical="top" wrapText="1"/>
    </xf>
    <xf numFmtId="0" fontId="7" fillId="5" borderId="7" xfId="3" applyAlignment="1">
      <alignment horizontal="center" vertical="top" wrapText="1"/>
    </xf>
    <xf numFmtId="9" fontId="7" fillId="5" borderId="7" xfId="3" applyNumberFormat="1" applyAlignment="1">
      <alignment horizontal="left" vertical="top"/>
    </xf>
    <xf numFmtId="49" fontId="8" fillId="5" borderId="7" xfId="3" applyNumberFormat="1" applyFont="1" applyAlignment="1">
      <alignment horizontal="left" vertical="top"/>
    </xf>
    <xf numFmtId="0" fontId="7" fillId="5" borderId="7" xfId="3" applyAlignment="1">
      <alignment horizontal="center" vertical="top"/>
    </xf>
    <xf numFmtId="164" fontId="7" fillId="5" borderId="7" xfId="3" applyNumberFormat="1" applyAlignment="1">
      <alignment horizontal="center" vertical="top" wrapText="1"/>
    </xf>
    <xf numFmtId="9" fontId="7" fillId="5" borderId="7" xfId="3" applyNumberFormat="1" applyAlignment="1">
      <alignment horizontal="center" vertical="top" wrapText="1"/>
    </xf>
    <xf numFmtId="0" fontId="7" fillId="5" borderId="7" xfId="3" applyNumberFormat="1" applyAlignment="1">
      <alignment horizontal="center" vertical="top" wrapText="1"/>
    </xf>
    <xf numFmtId="164" fontId="7" fillId="5" borderId="7" xfId="3" applyNumberFormat="1" applyAlignment="1">
      <alignment horizontal="center" vertical="top"/>
    </xf>
    <xf numFmtId="165" fontId="7" fillId="5" borderId="7" xfId="3" applyNumberFormat="1" applyAlignment="1">
      <alignment horizontal="center" vertical="top"/>
    </xf>
    <xf numFmtId="9" fontId="7" fillId="5" borderId="7" xfId="2" applyFont="1" applyFill="1" applyBorder="1" applyAlignment="1">
      <alignment horizontal="center" vertical="top"/>
    </xf>
    <xf numFmtId="0" fontId="7" fillId="5" borderId="7" xfId="3" applyAlignment="1">
      <alignment horizontal="left" vertical="top" wrapText="1"/>
    </xf>
    <xf numFmtId="0" fontId="8" fillId="5" borderId="7" xfId="3" applyFont="1" applyAlignment="1">
      <alignment horizontal="left" vertical="top"/>
    </xf>
  </cellXfs>
  <cellStyles count="4">
    <cellStyle name="Comma" xfId="1" builtinId="3"/>
    <cellStyle name="Normal" xfId="0" builtinId="0"/>
    <cellStyle name="Output" xfId="3" builtinId="21"/>
    <cellStyle name="Percent" xfId="2" builtinId="5"/>
  </cellStyles>
  <dxfs count="38">
    <dxf>
      <numFmt numFmtId="172" formatCode="_(* #,##0.0_);_(* \(#,##0.0\);_(* &quot;-&quot;??_);_(@_)"/>
    </dxf>
    <dxf>
      <numFmt numFmtId="164" formatCode="_(* #,##0_);_(* \(#,##0\);_(* &quot;-&quot;??_);_(@_)"/>
    </dxf>
    <dxf>
      <numFmt numFmtId="35" formatCode="_(* #,##0.00_);_(* \(#,##0.00\);_(* &quot;-&quot;??_);_(@_)"/>
    </dxf>
    <dxf>
      <numFmt numFmtId="164" formatCode="_(* #,##0_);_(* \(#,##0\);_(* &quot;-&quot;??_);_(@_)"/>
    </dxf>
    <dxf>
      <numFmt numFmtId="172" formatCode="_(* #,##0.0_);_(* \(#,##0.0\);_(* &quot;-&quot;??_);_(@_)"/>
    </dxf>
    <dxf>
      <numFmt numFmtId="164" formatCode="_(* #,##0_);_(* \(#,##0\);_(* &quot;-&quot;??_);_(@_)"/>
    </dxf>
    <dxf>
      <numFmt numFmtId="35" formatCode="_(* #,##0.00_);_(* \(#,##0.00\);_(* &quot;-&quot;??_);_(@_)"/>
    </dxf>
    <dxf>
      <numFmt numFmtId="165" formatCode="0.0"/>
    </dxf>
    <dxf>
      <numFmt numFmtId="164" formatCode="_(* #,##0_);_(* \(#,##0\);_(* &quot;-&quot;??_);_(@_)"/>
    </dxf>
    <dxf>
      <alignment vertical="center"/>
    </dxf>
    <dxf>
      <alignment vertical="center"/>
    </dxf>
    <dxf>
      <alignment vertical="center"/>
    </dxf>
    <dxf>
      <alignment horizontal="center"/>
    </dxf>
    <dxf>
      <alignment horizontal="center"/>
    </dxf>
    <dxf>
      <alignment horizontal="center"/>
    </dxf>
    <dxf>
      <numFmt numFmtId="164" formatCode="_(* #,##0_);_(* \(#,##0\);_(* &quot;-&quot;??_);_(@_)"/>
    </dxf>
    <dxf>
      <alignment vertical="center"/>
    </dxf>
    <dxf>
      <alignment vertical="center"/>
    </dxf>
    <dxf>
      <alignment vertical="center"/>
    </dxf>
    <dxf>
      <alignment horizontal="center"/>
    </dxf>
    <dxf>
      <alignment horizontal="center"/>
    </dxf>
    <dxf>
      <alignment horizontal="center"/>
    </dxf>
    <dxf>
      <numFmt numFmtId="164" formatCode="_(* #,##0_);_(* \(#,##0\);_(* &quot;-&quot;??_);_(@_)"/>
    </dxf>
    <dxf>
      <alignment vertical="center"/>
    </dxf>
    <dxf>
      <alignment vertical="center"/>
    </dxf>
    <dxf>
      <alignment vertical="center"/>
    </dxf>
    <dxf>
      <alignment horizontal="center"/>
    </dxf>
    <dxf>
      <alignment horizontal="center"/>
    </dxf>
    <dxf>
      <alignment horizontal="center"/>
    </dxf>
    <dxf>
      <numFmt numFmtId="165" formatCode="0.0"/>
    </dxf>
    <dxf>
      <numFmt numFmtId="165" formatCode="0.0"/>
    </dxf>
    <dxf>
      <numFmt numFmtId="164" formatCode="_(* #,##0_);_(* \(#,##0\);_(* &quot;-&quot;??_);_(@_)"/>
    </dxf>
    <dxf>
      <alignment vertical="center"/>
    </dxf>
    <dxf>
      <alignment vertical="center"/>
    </dxf>
    <dxf>
      <alignment vertical="center"/>
    </dxf>
    <dxf>
      <alignment horizontal="center"/>
    </dxf>
    <dxf>
      <alignment horizontal="center"/>
    </dxf>
    <dxf>
      <alignment horizontal="center"/>
    </dxf>
  </dxfs>
  <tableStyles count="0" defaultTableStyle="TableStyleMedium2" defaultPivotStyle="PivotStyleLight16"/>
  <colors>
    <mruColors>
      <color rgb="FF94264B"/>
      <color rgb="FF922849"/>
      <color rgb="FF96243F"/>
      <color rgb="FF89314A"/>
      <color rgb="FF94262E"/>
      <color rgb="FFF7F9FC"/>
      <color rgb="FFF6F7ED"/>
      <color rgb="FF6699FF"/>
      <color rgb="FFECE6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19"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[loan_data_solved.xlsx]PRE.VISUAL!ColumnChart</c:name>
    <c:fmtId val="10"/>
  </c:pivotSource>
  <c:chart>
    <c:title>
      <c:tx>
        <c:rich>
          <a:bodyPr rot="0" spcFirstLastPara="1" vertOverflow="ellipsis" vert="horz" wrap="square" anchor="ctr" anchorCtr="1"/>
          <a:lstStyle/>
          <a:p>
            <a:pPr>
              <a:defRPr sz="1600" b="1" i="0" u="none" strike="noStrike" kern="1200" spc="100" baseline="0">
                <a:solidFill>
                  <a:srgbClr val="F6F7ED"/>
                </a:solidFill>
                <a:effectLst>
                  <a:outerShdw blurRad="50800" dist="38100" dir="5400000" algn="t" rotWithShape="0">
                    <a:prstClr val="black">
                      <a:alpha val="40000"/>
                    </a:prstClr>
                  </a:outerShdw>
                </a:effectLst>
                <a:latin typeface="+mn-lt"/>
                <a:ea typeface="+mn-ea"/>
                <a:cs typeface="+mn-cs"/>
              </a:defRPr>
            </a:pPr>
            <a:r>
              <a:rPr lang="en-US"/>
              <a:t>SALES PER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6F7ED"/>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6F7E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84975565899568"/>
          <c:y val="0.21672149122807016"/>
          <c:w val="0.51990690390220562"/>
          <c:h val="0.65609502348390658"/>
        </c:manualLayout>
      </c:layout>
      <c:barChart>
        <c:barDir val="bar"/>
        <c:grouping val="clustered"/>
        <c:varyColors val="0"/>
        <c:ser>
          <c:idx val="0"/>
          <c:order val="0"/>
          <c:tx>
            <c:strRef>
              <c:f>PRE.VISUAL!$J$9</c:f>
              <c:strCache>
                <c:ptCount val="1"/>
                <c:pt idx="0">
                  <c:v>Total</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6F7E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PRE.VISUAL!$I$10:$I$20</c:f>
              <c:strCache>
                <c:ptCount val="10"/>
                <c:pt idx="0">
                  <c:v>Hernandezhaven</c:v>
                </c:pt>
                <c:pt idx="1">
                  <c:v>Franciscoport</c:v>
                </c:pt>
                <c:pt idx="2">
                  <c:v>East Jenniferfort</c:v>
                </c:pt>
                <c:pt idx="3">
                  <c:v>Angelastad</c:v>
                </c:pt>
                <c:pt idx="4">
                  <c:v>Porterton</c:v>
                </c:pt>
                <c:pt idx="5">
                  <c:v>North Phillip</c:v>
                </c:pt>
                <c:pt idx="6">
                  <c:v>Marciaville</c:v>
                </c:pt>
                <c:pt idx="7">
                  <c:v>Williamhaven</c:v>
                </c:pt>
                <c:pt idx="8">
                  <c:v>West Sarah</c:v>
                </c:pt>
                <c:pt idx="9">
                  <c:v>East Carrie</c:v>
                </c:pt>
              </c:strCache>
            </c:strRef>
          </c:cat>
          <c:val>
            <c:numRef>
              <c:f>PRE.VISUAL!$J$10:$J$20</c:f>
              <c:numCache>
                <c:formatCode>_(* #,##0_);_(* \(#,##0\);_(* "-"??_);_(@_)</c:formatCode>
                <c:ptCount val="10"/>
                <c:pt idx="0">
                  <c:v>4356335.4000000004</c:v>
                </c:pt>
                <c:pt idx="1">
                  <c:v>4233015.87</c:v>
                </c:pt>
                <c:pt idx="2">
                  <c:v>4060588.97</c:v>
                </c:pt>
                <c:pt idx="3">
                  <c:v>4015448.15</c:v>
                </c:pt>
                <c:pt idx="4">
                  <c:v>3946702.22</c:v>
                </c:pt>
                <c:pt idx="5">
                  <c:v>3788112</c:v>
                </c:pt>
                <c:pt idx="6">
                  <c:v>3639656.87</c:v>
                </c:pt>
                <c:pt idx="7">
                  <c:v>3558604.82</c:v>
                </c:pt>
                <c:pt idx="8">
                  <c:v>3526715.84</c:v>
                </c:pt>
                <c:pt idx="9">
                  <c:v>3380986.31</c:v>
                </c:pt>
              </c:numCache>
            </c:numRef>
          </c:val>
          <c:extLst>
            <c:ext xmlns:c16="http://schemas.microsoft.com/office/drawing/2014/chart" uri="{C3380CC4-5D6E-409C-BE32-E72D297353CC}">
              <c16:uniqueId val="{00000002-4D7E-428D-83C8-377097246B5B}"/>
            </c:ext>
          </c:extLst>
        </c:ser>
        <c:dLbls>
          <c:dLblPos val="outEnd"/>
          <c:showLegendKey val="0"/>
          <c:showVal val="1"/>
          <c:showCatName val="0"/>
          <c:showSerName val="0"/>
          <c:showPercent val="0"/>
          <c:showBubbleSize val="0"/>
        </c:dLbls>
        <c:gapWidth val="100"/>
        <c:axId val="1927050512"/>
        <c:axId val="1634799824"/>
      </c:barChart>
      <c:catAx>
        <c:axId val="1927050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6F7ED"/>
                </a:solidFill>
                <a:latin typeface="+mn-lt"/>
                <a:ea typeface="+mn-ea"/>
                <a:cs typeface="+mn-cs"/>
              </a:defRPr>
            </a:pPr>
            <a:endParaRPr lang="en-US"/>
          </a:p>
        </c:txPr>
        <c:crossAx val="1634799824"/>
        <c:crosses val="autoZero"/>
        <c:auto val="1"/>
        <c:lblAlgn val="ctr"/>
        <c:lblOffset val="100"/>
        <c:noMultiLvlLbl val="0"/>
      </c:catAx>
      <c:valAx>
        <c:axId val="1634799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6F7ED"/>
                </a:solidFill>
                <a:latin typeface="+mn-lt"/>
                <a:ea typeface="+mn-ea"/>
                <a:cs typeface="+mn-cs"/>
              </a:defRPr>
            </a:pPr>
            <a:endParaRPr lang="en-US"/>
          </a:p>
        </c:txPr>
        <c:crossAx val="1927050512"/>
        <c:crosses val="autoZero"/>
        <c:crossBetween val="between"/>
      </c:valAx>
      <c:spPr>
        <a:noFill/>
        <a:ln>
          <a:noFill/>
        </a:ln>
        <a:effectLst/>
      </c:spPr>
    </c:plotArea>
    <c:legend>
      <c:legendPos val="r"/>
      <c:layout>
        <c:manualLayout>
          <c:xMode val="edge"/>
          <c:yMode val="edge"/>
          <c:x val="3.7239164165252844E-2"/>
          <c:y val="0.88282566652852601"/>
          <c:w val="0.15365609704192382"/>
          <c:h val="5.3571803524559439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6F7E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5">
          <a:lumMod val="50000"/>
          <a:alpha val="40000"/>
        </a:schemeClr>
      </a:glow>
      <a:outerShdw blurRad="63500" sx="102000" sy="102000" algn="ctr" rotWithShape="0">
        <a:schemeClr val="bg2">
          <a:lumMod val="75000"/>
          <a:alpha val="40000"/>
        </a:schemeClr>
      </a:outerShdw>
      <a:softEdge rad="0"/>
    </a:effectLst>
    <a:scene3d>
      <a:camera prst="orthographicFront"/>
      <a:lightRig rig="threePt" dir="t"/>
    </a:scene3d>
    <a:sp3d/>
  </c:spPr>
  <c:txPr>
    <a:bodyPr/>
    <a:lstStyle/>
    <a:p>
      <a:pPr>
        <a:defRPr>
          <a:solidFill>
            <a:srgbClr val="F6F7ED"/>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[loan_data_solved.xlsx]PRE.VISUAL!LineChart</c:name>
    <c:fmtId val="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NO. OF CASES PER MONTH</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9404744218294"/>
          <c:y val="0.23512059087126305"/>
          <c:w val="0.77338015180534869"/>
          <c:h val="0.54766387897165025"/>
        </c:manualLayout>
      </c:layout>
      <c:lineChart>
        <c:grouping val="standard"/>
        <c:varyColors val="0"/>
        <c:ser>
          <c:idx val="0"/>
          <c:order val="0"/>
          <c:tx>
            <c:strRef>
              <c:f>PRE.VISUAL!$J$63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cat>
            <c:strRef>
              <c:f>PRE.VISUAL!$I$64:$I$75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PRE.VISUAL!$J$64:$J$75</c:f>
              <c:numCache>
                <c:formatCode>General</c:formatCode>
                <c:ptCount val="12"/>
                <c:pt idx="0">
                  <c:v>78</c:v>
                </c:pt>
                <c:pt idx="1">
                  <c:v>78</c:v>
                </c:pt>
                <c:pt idx="2">
                  <c:v>94</c:v>
                </c:pt>
                <c:pt idx="3">
                  <c:v>70</c:v>
                </c:pt>
                <c:pt idx="4">
                  <c:v>76</c:v>
                </c:pt>
                <c:pt idx="5">
                  <c:v>88</c:v>
                </c:pt>
                <c:pt idx="6">
                  <c:v>92</c:v>
                </c:pt>
                <c:pt idx="7">
                  <c:v>90</c:v>
                </c:pt>
                <c:pt idx="8">
                  <c:v>81</c:v>
                </c:pt>
                <c:pt idx="9">
                  <c:v>81</c:v>
                </c:pt>
                <c:pt idx="10">
                  <c:v>77</c:v>
                </c:pt>
                <c:pt idx="11">
                  <c:v>94</c:v>
                </c:pt>
              </c:numCache>
            </c:numRef>
          </c:val>
          <c:smooth val="0"/>
          <c:extLst>
            <c:ext xmlns:c16="http://schemas.microsoft.com/office/drawing/2014/chart" uri="{C3380CC4-5D6E-409C-BE32-E72D297353CC}">
              <c16:uniqueId val="{00000002-7FE0-4E9B-9CD6-38DE8C451564}"/>
            </c:ext>
          </c:extLst>
        </c:ser>
        <c:dLbls>
          <c:showLegendKey val="0"/>
          <c:showVal val="0"/>
          <c:showCatName val="0"/>
          <c:showSerName val="0"/>
          <c:showPercent val="0"/>
          <c:showBubbleSize val="0"/>
        </c:dLbls>
        <c:marker val="1"/>
        <c:smooth val="0"/>
        <c:axId val="1271623872"/>
        <c:axId val="1634807024"/>
      </c:lineChart>
      <c:catAx>
        <c:axId val="1271623872"/>
        <c:scaling>
          <c:orientation val="minMax"/>
        </c:scaling>
        <c:delete val="0"/>
        <c:axPos val="b"/>
        <c:numFmt formatCode="General" sourceLinked="1"/>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634807024"/>
        <c:crosses val="autoZero"/>
        <c:auto val="1"/>
        <c:lblAlgn val="ctr"/>
        <c:lblOffset val="100"/>
        <c:noMultiLvlLbl val="0"/>
      </c:catAx>
      <c:valAx>
        <c:axId val="1634807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62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5">
          <a:lumMod val="50000"/>
          <a:alpha val="40000"/>
        </a:schemeClr>
      </a:glow>
      <a:outerShdw blurRad="63500" sx="102000" sy="102000" algn="ctr" rotWithShape="0">
        <a:schemeClr val="bg2">
          <a:lumMod val="75000"/>
          <a:alpha val="40000"/>
        </a:schemeClr>
      </a:outerShdw>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[loan_data_solved.xlsx]PRE.VISUAL!TOP10PERFORMANCE</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OFFICER</a:t>
            </a:r>
            <a:r>
              <a:rPr lang="en-US" sz="1400" baseline="0"/>
              <a:t>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35170603674545E-2"/>
          <c:y val="0.14426854801546754"/>
          <c:w val="0.72453658136482935"/>
          <c:h val="0.62884534471359022"/>
        </c:manualLayout>
      </c:layout>
      <c:barChart>
        <c:barDir val="col"/>
        <c:grouping val="clustered"/>
        <c:varyColors val="0"/>
        <c:ser>
          <c:idx val="0"/>
          <c:order val="0"/>
          <c:tx>
            <c:strRef>
              <c:f>PRE.VISUAL!$J$78</c:f>
              <c:strCache>
                <c:ptCount val="1"/>
                <c:pt idx="0">
                  <c:v>Average of Work Efficiency</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PRE.VISUAL!$I$79:$I$88</c:f>
              <c:strCache>
                <c:ptCount val="10"/>
                <c:pt idx="0">
                  <c:v>EMP19</c:v>
                </c:pt>
                <c:pt idx="1">
                  <c:v>EMP17</c:v>
                </c:pt>
                <c:pt idx="2">
                  <c:v>EMP15</c:v>
                </c:pt>
                <c:pt idx="3">
                  <c:v>EMP5</c:v>
                </c:pt>
                <c:pt idx="4">
                  <c:v>EMP6</c:v>
                </c:pt>
                <c:pt idx="5">
                  <c:v>EMP9</c:v>
                </c:pt>
                <c:pt idx="6">
                  <c:v>EMP2</c:v>
                </c:pt>
                <c:pt idx="7">
                  <c:v>EMP14</c:v>
                </c:pt>
                <c:pt idx="8">
                  <c:v>EMP18</c:v>
                </c:pt>
                <c:pt idx="9">
                  <c:v>EMP20</c:v>
                </c:pt>
              </c:strCache>
            </c:strRef>
          </c:cat>
          <c:val>
            <c:numRef>
              <c:f>PRE.VISUAL!$J$79:$J$88</c:f>
              <c:numCache>
                <c:formatCode>0.0</c:formatCode>
                <c:ptCount val="10"/>
                <c:pt idx="0">
                  <c:v>0.29729729729729731</c:v>
                </c:pt>
                <c:pt idx="1">
                  <c:v>5.2631578947368418E-2</c:v>
                </c:pt>
                <c:pt idx="2">
                  <c:v>0.69696969696969702</c:v>
                </c:pt>
                <c:pt idx="3">
                  <c:v>0.66666666666666663</c:v>
                </c:pt>
                <c:pt idx="4">
                  <c:v>6.8965517241379309E-2</c:v>
                </c:pt>
                <c:pt idx="5">
                  <c:v>0.86206896551724133</c:v>
                </c:pt>
                <c:pt idx="6">
                  <c:v>0.64</c:v>
                </c:pt>
                <c:pt idx="7">
                  <c:v>0.43478260869565216</c:v>
                </c:pt>
                <c:pt idx="8">
                  <c:v>0</c:v>
                </c:pt>
                <c:pt idx="9">
                  <c:v>0.26666666666666666</c:v>
                </c:pt>
              </c:numCache>
            </c:numRef>
          </c:val>
          <c:extLst>
            <c:ext xmlns:c16="http://schemas.microsoft.com/office/drawing/2014/chart" uri="{C3380CC4-5D6E-409C-BE32-E72D297353CC}">
              <c16:uniqueId val="{00000003-D2B9-4878-9013-64FBA8085DB4}"/>
            </c:ext>
          </c:extLst>
        </c:ser>
        <c:dLbls>
          <c:showLegendKey val="0"/>
          <c:showVal val="0"/>
          <c:showCatName val="0"/>
          <c:showSerName val="0"/>
          <c:showPercent val="0"/>
          <c:showBubbleSize val="0"/>
        </c:dLbls>
        <c:gapWidth val="150"/>
        <c:axId val="1263639888"/>
        <c:axId val="96548911"/>
      </c:barChart>
      <c:lineChart>
        <c:grouping val="standard"/>
        <c:varyColors val="0"/>
        <c:ser>
          <c:idx val="1"/>
          <c:order val="1"/>
          <c:tx>
            <c:strRef>
              <c:f>PRE.VISUAL!$K$78</c:f>
              <c:strCache>
                <c:ptCount val="1"/>
                <c:pt idx="0">
                  <c:v>Sum of Loan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PRE.VISUAL!$I$79:$I$88</c:f>
              <c:strCache>
                <c:ptCount val="10"/>
                <c:pt idx="0">
                  <c:v>EMP19</c:v>
                </c:pt>
                <c:pt idx="1">
                  <c:v>EMP17</c:v>
                </c:pt>
                <c:pt idx="2">
                  <c:v>EMP15</c:v>
                </c:pt>
                <c:pt idx="3">
                  <c:v>EMP5</c:v>
                </c:pt>
                <c:pt idx="4">
                  <c:v>EMP6</c:v>
                </c:pt>
                <c:pt idx="5">
                  <c:v>EMP9</c:v>
                </c:pt>
                <c:pt idx="6">
                  <c:v>EMP2</c:v>
                </c:pt>
                <c:pt idx="7">
                  <c:v>EMP14</c:v>
                </c:pt>
                <c:pt idx="8">
                  <c:v>EMP18</c:v>
                </c:pt>
                <c:pt idx="9">
                  <c:v>EMP20</c:v>
                </c:pt>
              </c:strCache>
            </c:strRef>
          </c:cat>
          <c:val>
            <c:numRef>
              <c:f>PRE.VISUAL!$K$79:$K$88</c:f>
              <c:numCache>
                <c:formatCode>0.0</c:formatCode>
                <c:ptCount val="10"/>
                <c:pt idx="0">
                  <c:v>2590664.37</c:v>
                </c:pt>
                <c:pt idx="1">
                  <c:v>2474740.66</c:v>
                </c:pt>
                <c:pt idx="2">
                  <c:v>2272871.42</c:v>
                </c:pt>
                <c:pt idx="3">
                  <c:v>2171087.33</c:v>
                </c:pt>
                <c:pt idx="4">
                  <c:v>2122804.56</c:v>
                </c:pt>
                <c:pt idx="5">
                  <c:v>2001829.89</c:v>
                </c:pt>
                <c:pt idx="6">
                  <c:v>1795878.32</c:v>
                </c:pt>
                <c:pt idx="7">
                  <c:v>1754956.47</c:v>
                </c:pt>
                <c:pt idx="8">
                  <c:v>1204148.67</c:v>
                </c:pt>
                <c:pt idx="9">
                  <c:v>1027843.6</c:v>
                </c:pt>
              </c:numCache>
            </c:numRef>
          </c:val>
          <c:smooth val="0"/>
          <c:extLst>
            <c:ext xmlns:c16="http://schemas.microsoft.com/office/drawing/2014/chart" uri="{C3380CC4-5D6E-409C-BE32-E72D297353CC}">
              <c16:uniqueId val="{00000004-D2B9-4878-9013-64FBA8085DB4}"/>
            </c:ext>
          </c:extLst>
        </c:ser>
        <c:dLbls>
          <c:showLegendKey val="0"/>
          <c:showVal val="0"/>
          <c:showCatName val="0"/>
          <c:showSerName val="0"/>
          <c:showPercent val="0"/>
          <c:showBubbleSize val="0"/>
        </c:dLbls>
        <c:marker val="1"/>
        <c:smooth val="0"/>
        <c:axId val="976565055"/>
        <c:axId val="1632861487"/>
      </c:lineChart>
      <c:catAx>
        <c:axId val="1263639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48911"/>
        <c:crosses val="autoZero"/>
        <c:auto val="1"/>
        <c:lblAlgn val="ctr"/>
        <c:lblOffset val="100"/>
        <c:noMultiLvlLbl val="0"/>
      </c:catAx>
      <c:valAx>
        <c:axId val="9654891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3639888"/>
        <c:crosses val="autoZero"/>
        <c:crossBetween val="between"/>
      </c:valAx>
      <c:valAx>
        <c:axId val="163286148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6565055"/>
        <c:crosses val="max"/>
        <c:crossBetween val="between"/>
      </c:valAx>
      <c:catAx>
        <c:axId val="976565055"/>
        <c:scaling>
          <c:orientation val="minMax"/>
        </c:scaling>
        <c:delete val="1"/>
        <c:axPos val="b"/>
        <c:numFmt formatCode="General" sourceLinked="1"/>
        <c:majorTickMark val="out"/>
        <c:minorTickMark val="none"/>
        <c:tickLblPos val="nextTo"/>
        <c:crossAx val="1632861487"/>
        <c:auto val="1"/>
        <c:lblAlgn val="ctr"/>
        <c:lblOffset val="100"/>
        <c:noMultiLvlLbl val="0"/>
      </c:catAx>
      <c:spPr>
        <a:noFill/>
        <a:ln>
          <a:noFill/>
        </a:ln>
        <a:effectLst/>
      </c:spPr>
    </c:plotArea>
    <c:legend>
      <c:legendPos val="r"/>
      <c:layout>
        <c:manualLayout>
          <c:xMode val="edge"/>
          <c:yMode val="edge"/>
          <c:x val="2.5498863423322086E-2"/>
          <c:y val="0.875829386269245"/>
          <c:w val="0.79105414557555309"/>
          <c:h val="0.12417052353188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5">
          <a:lumMod val="5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[loan_data_solved.xlsx]PRE.VISUAL!ProductsPieChart</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tint val="97000"/>
                  <a:satMod val="100000"/>
                  <a:lumMod val="102000"/>
                </a:schemeClr>
              </a:gs>
              <a:gs pos="50000">
                <a:schemeClr val="accent3">
                  <a:shade val="100000"/>
                  <a:satMod val="100000"/>
                  <a:lumMod val="100000"/>
                </a:schemeClr>
              </a:gs>
              <a:gs pos="100000">
                <a:schemeClr val="accent3">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tint val="97000"/>
                  <a:satMod val="100000"/>
                  <a:lumMod val="102000"/>
                </a:schemeClr>
              </a:gs>
              <a:gs pos="50000">
                <a:schemeClr val="accent4">
                  <a:shade val="100000"/>
                  <a:satMod val="100000"/>
                  <a:lumMod val="100000"/>
                </a:schemeClr>
              </a:gs>
              <a:gs pos="100000">
                <a:schemeClr val="accent4">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97000"/>
                  <a:satMod val="100000"/>
                  <a:lumMod val="102000"/>
                </a:schemeClr>
              </a:gs>
              <a:gs pos="50000">
                <a:schemeClr val="accent5">
                  <a:shade val="100000"/>
                  <a:satMod val="100000"/>
                  <a:lumMod val="100000"/>
                </a:schemeClr>
              </a:gs>
              <a:gs pos="100000">
                <a:schemeClr val="accent5">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PRE.VISUAL!$J$32</c:f>
              <c:strCache>
                <c:ptCount val="1"/>
                <c:pt idx="0">
                  <c:v>Total</c:v>
                </c:pt>
              </c:strCache>
            </c:strRef>
          </c:tx>
          <c:dPt>
            <c:idx val="0"/>
            <c:bubble3D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4B2-4AB1-BD0D-E12F633F1DDA}"/>
              </c:ext>
            </c:extLst>
          </c:dPt>
          <c:dPt>
            <c:idx val="1"/>
            <c:bubble3D val="0"/>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F4B2-4AB1-BD0D-E12F633F1DDA}"/>
              </c:ext>
            </c:extLst>
          </c:dPt>
          <c:dPt>
            <c:idx val="2"/>
            <c:bubble3D val="0"/>
            <c:spPr>
              <a:gradFill rotWithShape="1">
                <a:gsLst>
                  <a:gs pos="0">
                    <a:schemeClr val="accent3">
                      <a:tint val="97000"/>
                      <a:satMod val="100000"/>
                      <a:lumMod val="102000"/>
                    </a:schemeClr>
                  </a:gs>
                  <a:gs pos="50000">
                    <a:schemeClr val="accent3">
                      <a:shade val="100000"/>
                      <a:satMod val="100000"/>
                      <a:lumMod val="100000"/>
                    </a:schemeClr>
                  </a:gs>
                  <a:gs pos="100000">
                    <a:schemeClr val="accent3">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4B2-4AB1-BD0D-E12F633F1DDA}"/>
              </c:ext>
            </c:extLst>
          </c:dPt>
          <c:dPt>
            <c:idx val="3"/>
            <c:bubble3D val="0"/>
            <c:spPr>
              <a:gradFill rotWithShape="1">
                <a:gsLst>
                  <a:gs pos="0">
                    <a:schemeClr val="accent4">
                      <a:tint val="97000"/>
                      <a:satMod val="100000"/>
                      <a:lumMod val="102000"/>
                    </a:schemeClr>
                  </a:gs>
                  <a:gs pos="50000">
                    <a:schemeClr val="accent4">
                      <a:shade val="100000"/>
                      <a:satMod val="100000"/>
                      <a:lumMod val="100000"/>
                    </a:schemeClr>
                  </a:gs>
                  <a:gs pos="100000">
                    <a:schemeClr val="accent4">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4B2-4AB1-BD0D-E12F633F1DDA}"/>
              </c:ext>
            </c:extLst>
          </c:dPt>
          <c:dPt>
            <c:idx val="4"/>
            <c:bubble3D val="0"/>
            <c:spPr>
              <a:gradFill rotWithShape="1">
                <a:gsLst>
                  <a:gs pos="0">
                    <a:schemeClr val="accent5">
                      <a:tint val="97000"/>
                      <a:satMod val="100000"/>
                      <a:lumMod val="102000"/>
                    </a:schemeClr>
                  </a:gs>
                  <a:gs pos="50000">
                    <a:schemeClr val="accent5">
                      <a:shade val="100000"/>
                      <a:satMod val="100000"/>
                      <a:lumMod val="100000"/>
                    </a:schemeClr>
                  </a:gs>
                  <a:gs pos="100000">
                    <a:schemeClr val="accent5">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4B2-4AB1-BD0D-E12F633F1DD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PRE.VISUAL!$I$33:$I$38</c:f>
              <c:strCache>
                <c:ptCount val="5"/>
                <c:pt idx="0">
                  <c:v>Personal Loan</c:v>
                </c:pt>
                <c:pt idx="1">
                  <c:v>Auto Loan</c:v>
                </c:pt>
                <c:pt idx="2">
                  <c:v>Business Loan</c:v>
                </c:pt>
                <c:pt idx="3">
                  <c:v>Education Loan</c:v>
                </c:pt>
                <c:pt idx="4">
                  <c:v>Home Loan</c:v>
                </c:pt>
              </c:strCache>
            </c:strRef>
          </c:cat>
          <c:val>
            <c:numRef>
              <c:f>PRE.VISUAL!$J$33:$J$38</c:f>
              <c:numCache>
                <c:formatCode>_(* #,##0_);_(* \(#,##0\);_(* "-"??_);_(@_)</c:formatCode>
                <c:ptCount val="5"/>
                <c:pt idx="0">
                  <c:v>8236553.2300000004</c:v>
                </c:pt>
                <c:pt idx="1">
                  <c:v>8187100.4400000004</c:v>
                </c:pt>
                <c:pt idx="2">
                  <c:v>8133032.2300000004</c:v>
                </c:pt>
                <c:pt idx="3">
                  <c:v>7267406.7300000004</c:v>
                </c:pt>
                <c:pt idx="4">
                  <c:v>6682073.8200000003</c:v>
                </c:pt>
              </c:numCache>
            </c:numRef>
          </c:val>
          <c:extLst>
            <c:ext xmlns:c16="http://schemas.microsoft.com/office/drawing/2014/chart" uri="{C3380CC4-5D6E-409C-BE32-E72D297353CC}">
              <c16:uniqueId val="{0000000C-F4B2-4AB1-BD0D-E12F633F1D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PRE.VISUAL!A1"/><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99060</xdr:rowOff>
    </xdr:from>
    <xdr:to>
      <xdr:col>0</xdr:col>
      <xdr:colOff>335280</xdr:colOff>
      <xdr:row>2</xdr:row>
      <xdr:rowOff>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8673575-8F85-6553-F61D-486FA048D218}"/>
            </a:ext>
          </a:extLst>
        </xdr:cNvPr>
        <xdr:cNvSpPr/>
      </xdr:nvSpPr>
      <xdr:spPr>
        <a:xfrm>
          <a:off x="53340" y="99060"/>
          <a:ext cx="281940" cy="266700"/>
        </a:xfrm>
        <a:prstGeom prst="leftArrow">
          <a:avLst/>
        </a:prstGeom>
        <a:gradFill>
          <a:gsLst>
            <a:gs pos="100000">
              <a:schemeClr val="bg1">
                <a:lumMod val="0"/>
                <a:lumOff val="100000"/>
              </a:schemeClr>
            </a:gs>
            <a:gs pos="0">
              <a:schemeClr val="bg2">
                <a:lumMod val="50000"/>
              </a:schemeClr>
            </a:gs>
            <a:gs pos="50000">
              <a:schemeClr val="bg2">
                <a:lumMod val="90000"/>
              </a:schemeClr>
            </a:gs>
            <a:gs pos="100000">
              <a:schemeClr val="accent2">
                <a:lumMod val="50000"/>
                <a:tint val="23500"/>
                <a:satMod val="160000"/>
              </a:schemeClr>
            </a:gs>
          </a:gsLst>
          <a:lin ang="16200000" scaled="1"/>
        </a:gradFill>
        <a:ln>
          <a:noFill/>
        </a:ln>
        <a:effectLst>
          <a:outerShdw blurRad="50800" dist="38100" dir="18900000" sx="104000" sy="104000" algn="b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350520</xdr:colOff>
      <xdr:row>2</xdr:row>
      <xdr:rowOff>7620</xdr:rowOff>
    </xdr:from>
    <xdr:to>
      <xdr:col>22</xdr:col>
      <xdr:colOff>472440</xdr:colOff>
      <xdr:row>31</xdr:row>
      <xdr:rowOff>99060</xdr:rowOff>
    </xdr:to>
    <xdr:sp macro="" textlink="">
      <xdr:nvSpPr>
        <xdr:cNvPr id="4" name="Rectangle 3">
          <a:extLst>
            <a:ext uri="{FF2B5EF4-FFF2-40B4-BE49-F238E27FC236}">
              <a16:creationId xmlns:a16="http://schemas.microsoft.com/office/drawing/2014/main" id="{CBB49A67-E9C2-1790-6ECC-065D211AC35F}"/>
            </a:ext>
          </a:extLst>
        </xdr:cNvPr>
        <xdr:cNvSpPr/>
      </xdr:nvSpPr>
      <xdr:spPr>
        <a:xfrm>
          <a:off x="350520" y="373380"/>
          <a:ext cx="13533120" cy="5394960"/>
        </a:xfrm>
        <a:prstGeom prst="rect">
          <a:avLst/>
        </a:prstGeom>
        <a:solidFill>
          <a:srgbClr val="F7F9FC"/>
        </a:solidFill>
        <a:ln>
          <a:noFill/>
        </a:ln>
        <a:effectLst>
          <a:glow rad="63500">
            <a:schemeClr val="accent1">
              <a:satMod val="175000"/>
              <a:alpha val="40000"/>
            </a:schemeClr>
          </a:glow>
          <a:outerShdw blurRad="63500" algn="ctr" rotWithShape="0">
            <a:schemeClr val="tx2">
              <a:lumMod val="75000"/>
              <a:lumOff val="25000"/>
              <a:alpha val="52000"/>
            </a:schemeClr>
          </a:outerShdw>
          <a:softEdge rad="203200"/>
        </a:effectLst>
        <a:scene3d>
          <a:camera prst="orthographicFront">
            <a:rot lat="0" lon="0" rev="0"/>
          </a:camera>
          <a:lightRig rig="soft" dir="t">
            <a:rot lat="0" lon="0" rev="0"/>
          </a:lightRig>
        </a:scene3d>
        <a:sp3d contourW="44450" prstMaterial="matte">
          <a:bevelT w="63500" h="63500"/>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t>
          </a:r>
        </a:p>
      </xdr:txBody>
    </xdr:sp>
    <xdr:clientData/>
  </xdr:twoCellAnchor>
  <xdr:twoCellAnchor>
    <xdr:from>
      <xdr:col>20</xdr:col>
      <xdr:colOff>251460</xdr:colOff>
      <xdr:row>18</xdr:row>
      <xdr:rowOff>0</xdr:rowOff>
    </xdr:from>
    <xdr:to>
      <xdr:col>22</xdr:col>
      <xdr:colOff>373380</xdr:colOff>
      <xdr:row>20</xdr:row>
      <xdr:rowOff>76200</xdr:rowOff>
    </xdr:to>
    <xdr:sp macro="" textlink="">
      <xdr:nvSpPr>
        <xdr:cNvPr id="6" name="Flowchart: Alternate Process 5">
          <a:extLst>
            <a:ext uri="{FF2B5EF4-FFF2-40B4-BE49-F238E27FC236}">
              <a16:creationId xmlns:a16="http://schemas.microsoft.com/office/drawing/2014/main" id="{13086CA8-37EA-DFBE-28B1-9B02F95E70A4}"/>
            </a:ext>
          </a:extLst>
        </xdr:cNvPr>
        <xdr:cNvSpPr/>
      </xdr:nvSpPr>
      <xdr:spPr>
        <a:xfrm>
          <a:off x="12443460" y="3291840"/>
          <a:ext cx="1341120" cy="44196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6F7ED"/>
              </a:solidFill>
            </a:rPr>
            <a:t>PRODUCT </a:t>
          </a:r>
          <a:r>
            <a:rPr lang="en-US" sz="1100" b="1">
              <a:solidFill>
                <a:srgbClr val="F6F7ED"/>
              </a:solidFill>
              <a:latin typeface="+mn-lt"/>
              <a:ea typeface="+mn-ea"/>
              <a:cs typeface="+mn-cs"/>
            </a:rPr>
            <a:t>NAME</a:t>
          </a:r>
        </a:p>
      </xdr:txBody>
    </xdr:sp>
    <xdr:clientData/>
  </xdr:twoCellAnchor>
  <xdr:twoCellAnchor editAs="oneCell">
    <xdr:from>
      <xdr:col>20</xdr:col>
      <xdr:colOff>236220</xdr:colOff>
      <xdr:row>20</xdr:row>
      <xdr:rowOff>114300</xdr:rowOff>
    </xdr:from>
    <xdr:to>
      <xdr:col>22</xdr:col>
      <xdr:colOff>411480</xdr:colOff>
      <xdr:row>31</xdr:row>
      <xdr:rowOff>7620</xdr:rowOff>
    </xdr:to>
    <mc:AlternateContent xmlns:mc="http://schemas.openxmlformats.org/markup-compatibility/2006">
      <mc:Choice xmlns:a14="http://schemas.microsoft.com/office/drawing/2010/main" Requires="a14">
        <xdr:graphicFrame macro="">
          <xdr:nvGraphicFramePr>
            <xdr:cNvPr id="7" name="Product Name">
              <a:extLst>
                <a:ext uri="{FF2B5EF4-FFF2-40B4-BE49-F238E27FC236}">
                  <a16:creationId xmlns:a16="http://schemas.microsoft.com/office/drawing/2014/main" id="{D924AACB-FF13-F233-6B90-46BEAF53063F}"/>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2428220" y="3771900"/>
              <a:ext cx="139446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525780</xdr:colOff>
      <xdr:row>5</xdr:row>
      <xdr:rowOff>76201</xdr:rowOff>
    </xdr:from>
    <xdr:to>
      <xdr:col>15</xdr:col>
      <xdr:colOff>7620</xdr:colOff>
      <xdr:row>8</xdr:row>
      <xdr:rowOff>121921</xdr:rowOff>
    </xdr:to>
    <xdr:sp macro="" textlink="PRE.VISUAL!C10">
      <xdr:nvSpPr>
        <xdr:cNvPr id="8" name="Flowchart: Alternate Process 7">
          <a:extLst>
            <a:ext uri="{FF2B5EF4-FFF2-40B4-BE49-F238E27FC236}">
              <a16:creationId xmlns:a16="http://schemas.microsoft.com/office/drawing/2014/main" id="{429B773A-513F-A845-AC94-B3026FFD0103}"/>
            </a:ext>
          </a:extLst>
        </xdr:cNvPr>
        <xdr:cNvSpPr/>
      </xdr:nvSpPr>
      <xdr:spPr>
        <a:xfrm>
          <a:off x="7231380" y="990601"/>
          <a:ext cx="1920240" cy="594360"/>
        </a:xfrm>
        <a:prstGeom prst="flowChartAlternateProcess">
          <a:avLst/>
        </a:prstGeom>
        <a:solidFill>
          <a:schemeClr val="bg1">
            <a:lumMod val="85000"/>
          </a:schemeClr>
        </a:soli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ctr"/>
          <a:fld id="{98A6A94D-E4DB-40F3-A61E-955D512C5800}" type="TxLink">
            <a:rPr lang="en-US" sz="1600" b="1" i="0" u="none" strike="noStrike">
              <a:solidFill>
                <a:schemeClr val="tx1"/>
              </a:solidFill>
              <a:latin typeface="Calibri Light"/>
              <a:ea typeface="Calibri Light"/>
              <a:cs typeface="Calibri Light"/>
            </a:rPr>
            <a:pPr lvl="0" algn="ctr"/>
            <a:t> 38,506,166 </a:t>
          </a:fld>
          <a:endParaRPr lang="en-US" sz="1600" b="1">
            <a:solidFill>
              <a:schemeClr val="tx1"/>
            </a:solidFill>
          </a:endParaRPr>
        </a:p>
      </xdr:txBody>
    </xdr:sp>
    <xdr:clientData/>
  </xdr:twoCellAnchor>
  <xdr:twoCellAnchor>
    <xdr:from>
      <xdr:col>11</xdr:col>
      <xdr:colOff>434340</xdr:colOff>
      <xdr:row>2</xdr:row>
      <xdr:rowOff>114300</xdr:rowOff>
    </xdr:from>
    <xdr:to>
      <xdr:col>15</xdr:col>
      <xdr:colOff>99060</xdr:colOff>
      <xdr:row>5</xdr:row>
      <xdr:rowOff>60960</xdr:rowOff>
    </xdr:to>
    <xdr:sp macro="" textlink="">
      <xdr:nvSpPr>
        <xdr:cNvPr id="9" name="Flowchart: Alternate Process 8">
          <a:extLst>
            <a:ext uri="{FF2B5EF4-FFF2-40B4-BE49-F238E27FC236}">
              <a16:creationId xmlns:a16="http://schemas.microsoft.com/office/drawing/2014/main" id="{B527D46B-4F01-ABFC-4906-2FF5C186698A}"/>
            </a:ext>
          </a:extLst>
        </xdr:cNvPr>
        <xdr:cNvSpPr/>
      </xdr:nvSpPr>
      <xdr:spPr>
        <a:xfrm>
          <a:off x="7139940" y="480060"/>
          <a:ext cx="2103120" cy="49530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lt1"/>
              </a:solidFill>
              <a:effectLst/>
              <a:latin typeface="+mn-lt"/>
              <a:ea typeface="+mn-ea"/>
              <a:cs typeface="+mn-cs"/>
            </a:rPr>
            <a:t>TOTAL DISBURSED LOAN</a:t>
          </a:r>
        </a:p>
        <a:p>
          <a:pPr algn="ctr"/>
          <a:r>
            <a:rPr lang="en-US" sz="1100" b="1">
              <a:solidFill>
                <a:schemeClr val="lt1"/>
              </a:solidFill>
              <a:effectLst/>
              <a:latin typeface="+mn-lt"/>
              <a:ea typeface="+mn-ea"/>
              <a:cs typeface="+mn-cs"/>
            </a:rPr>
            <a:t> AMOUNT</a:t>
          </a:r>
          <a:endParaRPr lang="en-US">
            <a:effectLst/>
          </a:endParaRPr>
        </a:p>
      </xdr:txBody>
    </xdr:sp>
    <xdr:clientData/>
  </xdr:twoCellAnchor>
  <xdr:twoCellAnchor>
    <xdr:from>
      <xdr:col>8</xdr:col>
      <xdr:colOff>121920</xdr:colOff>
      <xdr:row>5</xdr:row>
      <xdr:rowOff>68580</xdr:rowOff>
    </xdr:from>
    <xdr:to>
      <xdr:col>11</xdr:col>
      <xdr:colOff>213360</xdr:colOff>
      <xdr:row>8</xdr:row>
      <xdr:rowOff>114300</xdr:rowOff>
    </xdr:to>
    <xdr:sp macro="" textlink="PRE.VISUAL!C15">
      <xdr:nvSpPr>
        <xdr:cNvPr id="10" name="Flowchart: Alternate Process 9">
          <a:extLst>
            <a:ext uri="{FF2B5EF4-FFF2-40B4-BE49-F238E27FC236}">
              <a16:creationId xmlns:a16="http://schemas.microsoft.com/office/drawing/2014/main" id="{3CA872E2-D450-6C02-322F-3ECE89754CC9}"/>
            </a:ext>
          </a:extLst>
        </xdr:cNvPr>
        <xdr:cNvSpPr/>
      </xdr:nvSpPr>
      <xdr:spPr>
        <a:xfrm>
          <a:off x="4998720" y="982980"/>
          <a:ext cx="1920240" cy="594360"/>
        </a:xfrm>
        <a:prstGeom prst="flowChartAlternateProcess">
          <a:avLst/>
        </a:prstGeom>
        <a:solidFill>
          <a:schemeClr val="bg1">
            <a:lumMod val="85000"/>
          </a:schemeClr>
        </a:soli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5C71292D-539E-4356-9766-9874FDCC6503}" type="TxLink">
            <a:rPr lang="en-US" sz="1600" b="1" i="0" u="none" strike="noStrike">
              <a:solidFill>
                <a:schemeClr val="tx1"/>
              </a:solidFill>
              <a:latin typeface="Calibri Light"/>
              <a:ea typeface="Calibri Light"/>
              <a:cs typeface="Calibri Light"/>
            </a:rPr>
            <a:pPr algn="ctr"/>
            <a:t> 345,132,306 </a:t>
          </a:fld>
          <a:endParaRPr lang="en-US" sz="2800" b="1">
            <a:solidFill>
              <a:schemeClr val="tx1"/>
            </a:solidFill>
          </a:endParaRPr>
        </a:p>
      </xdr:txBody>
    </xdr:sp>
    <xdr:clientData/>
  </xdr:twoCellAnchor>
  <xdr:twoCellAnchor>
    <xdr:from>
      <xdr:col>8</xdr:col>
      <xdr:colOff>22860</xdr:colOff>
      <xdr:row>2</xdr:row>
      <xdr:rowOff>106680</xdr:rowOff>
    </xdr:from>
    <xdr:to>
      <xdr:col>11</xdr:col>
      <xdr:colOff>297180</xdr:colOff>
      <xdr:row>5</xdr:row>
      <xdr:rowOff>45720</xdr:rowOff>
    </xdr:to>
    <xdr:sp macro="" textlink="">
      <xdr:nvSpPr>
        <xdr:cNvPr id="11" name="Flowchart: Alternate Process 10">
          <a:extLst>
            <a:ext uri="{FF2B5EF4-FFF2-40B4-BE49-F238E27FC236}">
              <a16:creationId xmlns:a16="http://schemas.microsoft.com/office/drawing/2014/main" id="{371FE874-CE4A-EA47-9067-81D77CB08543}"/>
            </a:ext>
          </a:extLst>
        </xdr:cNvPr>
        <xdr:cNvSpPr/>
      </xdr:nvSpPr>
      <xdr:spPr>
        <a:xfrm>
          <a:off x="4899660" y="472440"/>
          <a:ext cx="2103120" cy="48768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6F7ED"/>
              </a:solidFill>
            </a:rPr>
            <a:t>TOTAL REQUESTED LOAN AMOUNT</a:t>
          </a:r>
          <a:endParaRPr lang="en-US" sz="1100" b="1">
            <a:solidFill>
              <a:srgbClr val="F6F7ED"/>
            </a:solidFill>
            <a:latin typeface="+mn-lt"/>
            <a:ea typeface="+mn-ea"/>
            <a:cs typeface="+mn-cs"/>
          </a:endParaRPr>
        </a:p>
      </xdr:txBody>
    </xdr:sp>
    <xdr:clientData/>
  </xdr:twoCellAnchor>
  <xdr:twoCellAnchor>
    <xdr:from>
      <xdr:col>4</xdr:col>
      <xdr:colOff>312420</xdr:colOff>
      <xdr:row>5</xdr:row>
      <xdr:rowOff>68578</xdr:rowOff>
    </xdr:from>
    <xdr:to>
      <xdr:col>7</xdr:col>
      <xdr:colOff>403860</xdr:colOff>
      <xdr:row>8</xdr:row>
      <xdr:rowOff>114298</xdr:rowOff>
    </xdr:to>
    <xdr:sp macro="" textlink="PRE.VISUAL!C32">
      <xdr:nvSpPr>
        <xdr:cNvPr id="12" name="Flowchart: Alternate Process 11">
          <a:extLst>
            <a:ext uri="{FF2B5EF4-FFF2-40B4-BE49-F238E27FC236}">
              <a16:creationId xmlns:a16="http://schemas.microsoft.com/office/drawing/2014/main" id="{DF7E82CD-92FA-E9F0-1431-2E0CF50E785C}"/>
            </a:ext>
          </a:extLst>
        </xdr:cNvPr>
        <xdr:cNvSpPr/>
      </xdr:nvSpPr>
      <xdr:spPr>
        <a:xfrm>
          <a:off x="2750820" y="982978"/>
          <a:ext cx="1920240" cy="594360"/>
        </a:xfrm>
        <a:prstGeom prst="flowChartAlternateProcess">
          <a:avLst/>
        </a:prstGeom>
        <a:solidFill>
          <a:schemeClr val="bg1">
            <a:lumMod val="85000"/>
          </a:schemeClr>
        </a:soli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428A29A9-85DA-4033-BFB8-53AE4E8E89F2}" type="TxLink">
            <a:rPr lang="en-US" sz="1600" b="1" i="0" u="none" strike="noStrike">
              <a:solidFill>
                <a:schemeClr val="tx1"/>
              </a:solidFill>
              <a:latin typeface="Calibri Light"/>
              <a:ea typeface="Calibri Light"/>
              <a:cs typeface="Calibri Light"/>
            </a:rPr>
            <a:pPr algn="ctr"/>
            <a:t>EMP9</a:t>
          </a:fld>
          <a:endParaRPr lang="en-US" sz="2800" b="1">
            <a:solidFill>
              <a:schemeClr val="tx1"/>
            </a:solidFill>
            <a:latin typeface="+mn-lt"/>
            <a:ea typeface="+mn-ea"/>
            <a:cs typeface="+mn-cs"/>
          </a:endParaRPr>
        </a:p>
      </xdr:txBody>
    </xdr:sp>
    <xdr:clientData/>
  </xdr:twoCellAnchor>
  <xdr:twoCellAnchor>
    <xdr:from>
      <xdr:col>4</xdr:col>
      <xdr:colOff>228600</xdr:colOff>
      <xdr:row>2</xdr:row>
      <xdr:rowOff>106680</xdr:rowOff>
    </xdr:from>
    <xdr:to>
      <xdr:col>7</xdr:col>
      <xdr:colOff>502920</xdr:colOff>
      <xdr:row>5</xdr:row>
      <xdr:rowOff>45720</xdr:rowOff>
    </xdr:to>
    <xdr:sp macro="" textlink="">
      <xdr:nvSpPr>
        <xdr:cNvPr id="13" name="Flowchart: Alternate Process 12">
          <a:extLst>
            <a:ext uri="{FF2B5EF4-FFF2-40B4-BE49-F238E27FC236}">
              <a16:creationId xmlns:a16="http://schemas.microsoft.com/office/drawing/2014/main" id="{1873B454-5D33-1B72-CD8D-B760EB6DE14D}"/>
            </a:ext>
          </a:extLst>
        </xdr:cNvPr>
        <xdr:cNvSpPr/>
      </xdr:nvSpPr>
      <xdr:spPr>
        <a:xfrm>
          <a:off x="2667000" y="472440"/>
          <a:ext cx="2103120" cy="48768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6F7ED"/>
              </a:solidFill>
              <a:latin typeface="+mn-lt"/>
              <a:ea typeface="+mn-ea"/>
              <a:cs typeface="+mn-cs"/>
            </a:rPr>
            <a:t>TOP PERFORMING OFFICER </a:t>
          </a:r>
        </a:p>
      </xdr:txBody>
    </xdr:sp>
    <xdr:clientData/>
  </xdr:twoCellAnchor>
  <xdr:twoCellAnchor>
    <xdr:from>
      <xdr:col>0</xdr:col>
      <xdr:colOff>480062</xdr:colOff>
      <xdr:row>5</xdr:row>
      <xdr:rowOff>76201</xdr:rowOff>
    </xdr:from>
    <xdr:to>
      <xdr:col>3</xdr:col>
      <xdr:colOff>571502</xdr:colOff>
      <xdr:row>8</xdr:row>
      <xdr:rowOff>121921</xdr:rowOff>
    </xdr:to>
    <xdr:sp macro="" textlink="PRE.VISUAL!C25">
      <xdr:nvSpPr>
        <xdr:cNvPr id="14" name="Flowchart: Alternate Process 13">
          <a:extLst>
            <a:ext uri="{FF2B5EF4-FFF2-40B4-BE49-F238E27FC236}">
              <a16:creationId xmlns:a16="http://schemas.microsoft.com/office/drawing/2014/main" id="{37E34108-C92E-40B0-54FC-8BC38730307B}"/>
            </a:ext>
          </a:extLst>
        </xdr:cNvPr>
        <xdr:cNvSpPr/>
      </xdr:nvSpPr>
      <xdr:spPr>
        <a:xfrm>
          <a:off x="480062" y="990601"/>
          <a:ext cx="1920240" cy="594360"/>
        </a:xfrm>
        <a:prstGeom prst="flowChartAlternateProcess">
          <a:avLst/>
        </a:prstGeom>
        <a:solidFill>
          <a:schemeClr val="bg1">
            <a:lumMod val="85000"/>
          </a:schemeClr>
        </a:soli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27D0E7C2-449E-46AC-9E07-E21BB6F16E15}" type="TxLink">
            <a:rPr lang="en-US" sz="1800" b="1" i="0" u="none" strike="noStrike">
              <a:solidFill>
                <a:schemeClr val="tx1"/>
              </a:solidFill>
              <a:latin typeface="Calibri Light"/>
              <a:ea typeface="Calibri Light"/>
              <a:cs typeface="Calibri Light"/>
            </a:rPr>
            <a:pPr algn="ctr"/>
            <a:t> 156,933,771 </a:t>
          </a:fld>
          <a:endParaRPr lang="en-US" sz="3200" b="1">
            <a:solidFill>
              <a:schemeClr val="tx1"/>
            </a:solidFill>
          </a:endParaRPr>
        </a:p>
      </xdr:txBody>
    </xdr:sp>
    <xdr:clientData/>
  </xdr:twoCellAnchor>
  <xdr:twoCellAnchor>
    <xdr:from>
      <xdr:col>0</xdr:col>
      <xdr:colOff>419100</xdr:colOff>
      <xdr:row>2</xdr:row>
      <xdr:rowOff>114300</xdr:rowOff>
    </xdr:from>
    <xdr:to>
      <xdr:col>4</xdr:col>
      <xdr:colOff>83820</xdr:colOff>
      <xdr:row>5</xdr:row>
      <xdr:rowOff>45720</xdr:rowOff>
    </xdr:to>
    <xdr:sp macro="" textlink="">
      <xdr:nvSpPr>
        <xdr:cNvPr id="15" name="Flowchart: Alternate Process 14">
          <a:extLst>
            <a:ext uri="{FF2B5EF4-FFF2-40B4-BE49-F238E27FC236}">
              <a16:creationId xmlns:a16="http://schemas.microsoft.com/office/drawing/2014/main" id="{DBAF3CAF-25FF-AC69-FE0D-9C7F9FC2C12B}"/>
            </a:ext>
          </a:extLst>
        </xdr:cNvPr>
        <xdr:cNvSpPr/>
      </xdr:nvSpPr>
      <xdr:spPr>
        <a:xfrm>
          <a:off x="419100" y="480060"/>
          <a:ext cx="2103120" cy="48006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F6F7ED"/>
              </a:solidFill>
            </a:rPr>
            <a:t>TOTAL NotApproved LOAN</a:t>
          </a:r>
          <a:r>
            <a:rPr lang="en-US" sz="1200" b="1" baseline="0">
              <a:solidFill>
                <a:srgbClr val="F6F7ED"/>
              </a:solidFill>
            </a:rPr>
            <a:t> AMOUNT</a:t>
          </a:r>
          <a:endParaRPr lang="en-US" sz="1200" b="1">
            <a:solidFill>
              <a:srgbClr val="F6F7ED"/>
            </a:solidFill>
            <a:latin typeface="+mn-lt"/>
            <a:ea typeface="+mn-ea"/>
            <a:cs typeface="+mn-cs"/>
          </a:endParaRPr>
        </a:p>
      </xdr:txBody>
    </xdr:sp>
    <xdr:clientData/>
  </xdr:twoCellAnchor>
  <xdr:twoCellAnchor>
    <xdr:from>
      <xdr:col>1</xdr:col>
      <xdr:colOff>83820</xdr:colOff>
      <xdr:row>18</xdr:row>
      <xdr:rowOff>121920</xdr:rowOff>
    </xdr:from>
    <xdr:to>
      <xdr:col>5</xdr:col>
      <xdr:colOff>175260</xdr:colOff>
      <xdr:row>30</xdr:row>
      <xdr:rowOff>144780</xdr:rowOff>
    </xdr:to>
    <xdr:sp macro="" textlink="">
      <xdr:nvSpPr>
        <xdr:cNvPr id="17" name="Flowchart: Alternate Process 16">
          <a:extLst>
            <a:ext uri="{FF2B5EF4-FFF2-40B4-BE49-F238E27FC236}">
              <a16:creationId xmlns:a16="http://schemas.microsoft.com/office/drawing/2014/main" id="{A36B6E26-65D5-4318-8E48-C6843C94D30F}"/>
            </a:ext>
          </a:extLst>
        </xdr:cNvPr>
        <xdr:cNvSpPr/>
      </xdr:nvSpPr>
      <xdr:spPr>
        <a:xfrm>
          <a:off x="693420" y="3413760"/>
          <a:ext cx="2529840" cy="2217420"/>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endParaRPr lang="en-US"/>
        </a:p>
      </xdr:txBody>
    </xdr:sp>
    <xdr:clientData/>
  </xdr:twoCellAnchor>
  <xdr:twoCellAnchor>
    <xdr:from>
      <xdr:col>6</xdr:col>
      <xdr:colOff>426720</xdr:colOff>
      <xdr:row>19</xdr:row>
      <xdr:rowOff>175260</xdr:rowOff>
    </xdr:from>
    <xdr:to>
      <xdr:col>10</xdr:col>
      <xdr:colOff>342900</xdr:colOff>
      <xdr:row>30</xdr:row>
      <xdr:rowOff>175260</xdr:rowOff>
    </xdr:to>
    <xdr:sp macro="" textlink="">
      <xdr:nvSpPr>
        <xdr:cNvPr id="19" name="Flowchart: Alternate Process 18">
          <a:extLst>
            <a:ext uri="{FF2B5EF4-FFF2-40B4-BE49-F238E27FC236}">
              <a16:creationId xmlns:a16="http://schemas.microsoft.com/office/drawing/2014/main" id="{DE2586C7-3B7F-46C2-B276-BA919EE74C36}"/>
            </a:ext>
          </a:extLst>
        </xdr:cNvPr>
        <xdr:cNvSpPr/>
      </xdr:nvSpPr>
      <xdr:spPr>
        <a:xfrm>
          <a:off x="4084320" y="3649980"/>
          <a:ext cx="2354580" cy="2011680"/>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endParaRPr lang="en-US"/>
        </a:p>
      </xdr:txBody>
    </xdr:sp>
    <xdr:clientData/>
  </xdr:twoCellAnchor>
  <xdr:twoCellAnchor>
    <xdr:from>
      <xdr:col>11</xdr:col>
      <xdr:colOff>121920</xdr:colOff>
      <xdr:row>19</xdr:row>
      <xdr:rowOff>0</xdr:rowOff>
    </xdr:from>
    <xdr:to>
      <xdr:col>17</xdr:col>
      <xdr:colOff>297180</xdr:colOff>
      <xdr:row>31</xdr:row>
      <xdr:rowOff>22860</xdr:rowOff>
    </xdr:to>
    <xdr:sp macro="" textlink="">
      <xdr:nvSpPr>
        <xdr:cNvPr id="20" name="Flowchart: Alternate Process 19">
          <a:extLst>
            <a:ext uri="{FF2B5EF4-FFF2-40B4-BE49-F238E27FC236}">
              <a16:creationId xmlns:a16="http://schemas.microsoft.com/office/drawing/2014/main" id="{003EA2F6-0ECF-4575-AC4A-DA7BF6F5C6EB}"/>
            </a:ext>
          </a:extLst>
        </xdr:cNvPr>
        <xdr:cNvSpPr/>
      </xdr:nvSpPr>
      <xdr:spPr>
        <a:xfrm>
          <a:off x="6827520" y="3474720"/>
          <a:ext cx="3832860" cy="2217420"/>
        </a:xfrm>
        <a:prstGeom prst="flowChartAlternateProcess">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endParaRPr lang="en-US"/>
        </a:p>
      </xdr:txBody>
    </xdr:sp>
    <xdr:clientData/>
  </xdr:twoCellAnchor>
  <xdr:twoCellAnchor editAs="oneCell">
    <xdr:from>
      <xdr:col>16</xdr:col>
      <xdr:colOff>15240</xdr:colOff>
      <xdr:row>9</xdr:row>
      <xdr:rowOff>76200</xdr:rowOff>
    </xdr:from>
    <xdr:to>
      <xdr:col>22</xdr:col>
      <xdr:colOff>381000</xdr:colOff>
      <xdr:row>17</xdr:row>
      <xdr:rowOff>53340</xdr:rowOff>
    </xdr:to>
    <mc:AlternateContent xmlns:mc="http://schemas.openxmlformats.org/markup-compatibility/2006">
      <mc:Choice xmlns:tsle="http://schemas.microsoft.com/office/drawing/2012/timeslicer" Requires="tsle">
        <xdr:graphicFrame macro="">
          <xdr:nvGraphicFramePr>
            <xdr:cNvPr id="21" name="Date">
              <a:extLst>
                <a:ext uri="{FF2B5EF4-FFF2-40B4-BE49-F238E27FC236}">
                  <a16:creationId xmlns:a16="http://schemas.microsoft.com/office/drawing/2014/main" id="{006961F8-BE0F-87E7-55B2-683B0B525F2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768840" y="1722120"/>
              <a:ext cx="4023360" cy="14401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289560</xdr:colOff>
      <xdr:row>9</xdr:row>
      <xdr:rowOff>38100</xdr:rowOff>
    </xdr:from>
    <xdr:to>
      <xdr:col>11</xdr:col>
      <xdr:colOff>60960</xdr:colOff>
      <xdr:row>31</xdr:row>
      <xdr:rowOff>15240</xdr:rowOff>
    </xdr:to>
    <xdr:graphicFrame macro="">
      <xdr:nvGraphicFramePr>
        <xdr:cNvPr id="23" name="Chart 22">
          <a:extLst>
            <a:ext uri="{FF2B5EF4-FFF2-40B4-BE49-F238E27FC236}">
              <a16:creationId xmlns:a16="http://schemas.microsoft.com/office/drawing/2014/main" id="{D1B5EC10-6A4D-4646-8078-BC21C4DB4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17</xdr:row>
      <xdr:rowOff>167640</xdr:rowOff>
    </xdr:from>
    <xdr:to>
      <xdr:col>20</xdr:col>
      <xdr:colOff>106680</xdr:colOff>
      <xdr:row>31</xdr:row>
      <xdr:rowOff>22860</xdr:rowOff>
    </xdr:to>
    <xdr:graphicFrame macro="">
      <xdr:nvGraphicFramePr>
        <xdr:cNvPr id="25" name="Chart 24">
          <a:extLst>
            <a:ext uri="{FF2B5EF4-FFF2-40B4-BE49-F238E27FC236}">
              <a16:creationId xmlns:a16="http://schemas.microsoft.com/office/drawing/2014/main" id="{7F51A8E2-D6EA-4DAC-A3DA-B899701BD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457200</xdr:colOff>
      <xdr:row>9</xdr:row>
      <xdr:rowOff>30480</xdr:rowOff>
    </xdr:from>
    <xdr:to>
      <xdr:col>6</xdr:col>
      <xdr:colOff>213360</xdr:colOff>
      <xdr:row>31</xdr:row>
      <xdr:rowOff>0</xdr:rowOff>
    </xdr:to>
    <xdr:graphicFrame macro="">
      <xdr:nvGraphicFramePr>
        <xdr:cNvPr id="28" name="Chart 27">
          <a:extLst>
            <a:ext uri="{FF2B5EF4-FFF2-40B4-BE49-F238E27FC236}">
              <a16:creationId xmlns:a16="http://schemas.microsoft.com/office/drawing/2014/main" id="{2E4E01FA-F39A-49EC-B80E-261B4BBED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160020</xdr:colOff>
      <xdr:row>9</xdr:row>
      <xdr:rowOff>15240</xdr:rowOff>
    </xdr:from>
    <xdr:to>
      <xdr:col>15</xdr:col>
      <xdr:colOff>548640</xdr:colOff>
      <xdr:row>17</xdr:row>
      <xdr:rowOff>129540</xdr:rowOff>
    </xdr:to>
    <xdr:graphicFrame macro="">
      <xdr:nvGraphicFramePr>
        <xdr:cNvPr id="31" name="Chart 30">
          <a:extLst>
            <a:ext uri="{FF2B5EF4-FFF2-40B4-BE49-F238E27FC236}">
              <a16:creationId xmlns:a16="http://schemas.microsoft.com/office/drawing/2014/main" id="{DDCEA740-80A9-4887-8A4F-B7942C343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327660</xdr:colOff>
      <xdr:row>5</xdr:row>
      <xdr:rowOff>76201</xdr:rowOff>
    </xdr:from>
    <xdr:to>
      <xdr:col>18</xdr:col>
      <xdr:colOff>419100</xdr:colOff>
      <xdr:row>8</xdr:row>
      <xdr:rowOff>121921</xdr:rowOff>
    </xdr:to>
    <xdr:sp macro="" textlink="PRE.VISUAL!E10">
      <xdr:nvSpPr>
        <xdr:cNvPr id="3" name="Flowchart: Alternate Process 2">
          <a:extLst>
            <a:ext uri="{FF2B5EF4-FFF2-40B4-BE49-F238E27FC236}">
              <a16:creationId xmlns:a16="http://schemas.microsoft.com/office/drawing/2014/main" id="{D2AC8338-67D5-4C93-BF0A-21B3A8A67F05}"/>
            </a:ext>
          </a:extLst>
        </xdr:cNvPr>
        <xdr:cNvSpPr/>
      </xdr:nvSpPr>
      <xdr:spPr>
        <a:xfrm>
          <a:off x="9471660" y="990601"/>
          <a:ext cx="1920240" cy="594360"/>
        </a:xfrm>
        <a:prstGeom prst="flowChartAlternateProcess">
          <a:avLst/>
        </a:prstGeom>
        <a:solidFill>
          <a:schemeClr val="bg1">
            <a:lumMod val="85000"/>
          </a:schemeClr>
        </a:soli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ctr"/>
          <a:fld id="{FB336BFA-6304-4D1B-AE9E-56F43C5BC0A0}" type="TxLink">
            <a:rPr lang="en-US" sz="1400" b="1" i="0" u="none" strike="noStrike">
              <a:solidFill>
                <a:srgbClr val="000000"/>
              </a:solidFill>
              <a:latin typeface="Calibri Light"/>
              <a:ea typeface="Calibri Light"/>
              <a:cs typeface="Calibri Light"/>
            </a:rPr>
            <a:t>545</a:t>
          </a:fld>
          <a:endParaRPr lang="en-US" sz="2000" b="1">
            <a:solidFill>
              <a:schemeClr val="tx1"/>
            </a:solidFill>
          </a:endParaRPr>
        </a:p>
      </xdr:txBody>
    </xdr:sp>
    <xdr:clientData/>
  </xdr:twoCellAnchor>
  <xdr:twoCellAnchor>
    <xdr:from>
      <xdr:col>15</xdr:col>
      <xdr:colOff>236220</xdr:colOff>
      <xdr:row>2</xdr:row>
      <xdr:rowOff>114300</xdr:rowOff>
    </xdr:from>
    <xdr:to>
      <xdr:col>18</xdr:col>
      <xdr:colOff>510540</xdr:colOff>
      <xdr:row>5</xdr:row>
      <xdr:rowOff>60960</xdr:rowOff>
    </xdr:to>
    <xdr:sp macro="" textlink="">
      <xdr:nvSpPr>
        <xdr:cNvPr id="5" name="Flowchart: Alternate Process 4">
          <a:extLst>
            <a:ext uri="{FF2B5EF4-FFF2-40B4-BE49-F238E27FC236}">
              <a16:creationId xmlns:a16="http://schemas.microsoft.com/office/drawing/2014/main" id="{5048CF9F-DEFE-41C4-96AA-4DE44F6BA37B}"/>
            </a:ext>
          </a:extLst>
        </xdr:cNvPr>
        <xdr:cNvSpPr/>
      </xdr:nvSpPr>
      <xdr:spPr>
        <a:xfrm>
          <a:off x="9380220" y="480060"/>
          <a:ext cx="2103120" cy="49530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NO.</a:t>
          </a:r>
          <a:r>
            <a:rPr lang="en-US" baseline="0">
              <a:effectLst/>
            </a:rPr>
            <a:t> OF APPROVED APPLICATIONS</a:t>
          </a:r>
          <a:endParaRPr lang="en-US">
            <a:effectLst/>
          </a:endParaRPr>
        </a:p>
      </xdr:txBody>
    </xdr:sp>
    <xdr:clientData/>
  </xdr:twoCellAnchor>
  <xdr:twoCellAnchor>
    <xdr:from>
      <xdr:col>19</xdr:col>
      <xdr:colOff>121920</xdr:colOff>
      <xdr:row>5</xdr:row>
      <xdr:rowOff>83821</xdr:rowOff>
    </xdr:from>
    <xdr:to>
      <xdr:col>22</xdr:col>
      <xdr:colOff>213360</xdr:colOff>
      <xdr:row>8</xdr:row>
      <xdr:rowOff>129541</xdr:rowOff>
    </xdr:to>
    <xdr:sp macro="" textlink="PRE.VISUAL!E15">
      <xdr:nvSpPr>
        <xdr:cNvPr id="22" name="Flowchart: Alternate Process 21">
          <a:extLst>
            <a:ext uri="{FF2B5EF4-FFF2-40B4-BE49-F238E27FC236}">
              <a16:creationId xmlns:a16="http://schemas.microsoft.com/office/drawing/2014/main" id="{FF84D280-3CCA-45A2-A3C8-CFD6CD1D8CDE}"/>
            </a:ext>
          </a:extLst>
        </xdr:cNvPr>
        <xdr:cNvSpPr/>
      </xdr:nvSpPr>
      <xdr:spPr>
        <a:xfrm>
          <a:off x="11704320" y="998221"/>
          <a:ext cx="1920240" cy="594360"/>
        </a:xfrm>
        <a:prstGeom prst="flowChartAlternateProcess">
          <a:avLst/>
        </a:prstGeom>
        <a:solidFill>
          <a:schemeClr val="bg1">
            <a:lumMod val="85000"/>
          </a:schemeClr>
        </a:solidFill>
        <a:ln>
          <a:noFill/>
        </a:ln>
        <a:effectLst>
          <a:glow rad="63500">
            <a:schemeClr val="tx1">
              <a:lumMod val="75000"/>
              <a:lumOff val="25000"/>
              <a:alpha val="40000"/>
            </a:schemeClr>
          </a:glow>
          <a:innerShdw blurRad="63500" dist="50800" dir="16200000">
            <a:schemeClr val="tx1">
              <a:alpha val="50000"/>
            </a:schemeClr>
          </a:innerShdw>
          <a:reflection endPos="0" dist="508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lvl="0" algn="ctr"/>
          <a:fld id="{A87FA52B-4B60-400C-BD6F-93A400DAAF0D}" type="TxLink">
            <a:rPr lang="en-US" sz="1400" b="1" i="0" u="none" strike="noStrike">
              <a:solidFill>
                <a:srgbClr val="000000"/>
              </a:solidFill>
              <a:latin typeface="Calibri Light"/>
              <a:ea typeface="Calibri Light"/>
              <a:cs typeface="Calibri Light"/>
            </a:rPr>
            <a:t>454</a:t>
          </a:fld>
          <a:endParaRPr lang="en-US" sz="2800" b="1">
            <a:solidFill>
              <a:schemeClr val="tx1"/>
            </a:solidFill>
          </a:endParaRPr>
        </a:p>
      </xdr:txBody>
    </xdr:sp>
    <xdr:clientData/>
  </xdr:twoCellAnchor>
  <xdr:twoCellAnchor>
    <xdr:from>
      <xdr:col>19</xdr:col>
      <xdr:colOff>30480</xdr:colOff>
      <xdr:row>2</xdr:row>
      <xdr:rowOff>121920</xdr:rowOff>
    </xdr:from>
    <xdr:to>
      <xdr:col>22</xdr:col>
      <xdr:colOff>304800</xdr:colOff>
      <xdr:row>5</xdr:row>
      <xdr:rowOff>68580</xdr:rowOff>
    </xdr:to>
    <xdr:sp macro="" textlink="">
      <xdr:nvSpPr>
        <xdr:cNvPr id="24" name="Flowchart: Alternate Process 23">
          <a:extLst>
            <a:ext uri="{FF2B5EF4-FFF2-40B4-BE49-F238E27FC236}">
              <a16:creationId xmlns:a16="http://schemas.microsoft.com/office/drawing/2014/main" id="{2552B9F3-B074-4E98-AC52-3799F474FE25}"/>
            </a:ext>
          </a:extLst>
        </xdr:cNvPr>
        <xdr:cNvSpPr/>
      </xdr:nvSpPr>
      <xdr:spPr>
        <a:xfrm>
          <a:off x="11612880" y="487680"/>
          <a:ext cx="2103120" cy="495300"/>
        </a:xfrm>
        <a:prstGeom prst="flowChartAlternateProcess">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effectLst/>
            </a:rPr>
            <a:t>NO.</a:t>
          </a:r>
          <a:r>
            <a:rPr lang="en-US" baseline="0">
              <a:effectLst/>
            </a:rPr>
            <a:t> OF Not APPROVED APPLICATIONS</a:t>
          </a:r>
          <a:endParaRPr lang="en-US">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05902777" backgroundQuery="1" createdVersion="8" refreshedVersion="8" minRefreshableVersion="3" recordCount="0" supportSubquery="1" supportAdvancedDrill="1" xr:uid="{C4746289-42EB-433E-BE05-49195E6BC270}">
  <cacheSource type="external" connectionId="5"/>
  <cacheFields count="2">
    <cacheField name="[Measures].[Count of Transaction ID]" caption="Count of Transaction ID" numFmtId="0" hierarchy="29"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fieldsUsage count="1">
        <fieldUsage x="0"/>
      </fieldsUsage>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09027779" backgroundQuery="1" createdVersion="8" refreshedVersion="8" minRefreshableVersion="3" recordCount="0" supportSubquery="1" supportAdvancedDrill="1" xr:uid="{BA258C38-93BF-488C-BF28-93F1595D14F9}">
  <cacheSource type="external" connectionId="5"/>
  <cacheFields count="3">
    <cacheField name="[Measures].[Sum of Loan Amount]" caption="Sum of Loan Amount" numFmtId="0" hierarchy="27" level="32767"/>
    <cacheField name="[LoanDetails].[Officer ID].[Officer ID]" caption="Officer ID" numFmtId="0" hierarchy="14" level="1">
      <sharedItems count="5">
        <s v="EMP11"/>
        <s v="EMP13"/>
        <s v="EMP15"/>
        <s v="EMP17"/>
        <s v="EMP19"/>
      </sharedItems>
    </cacheField>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1"/>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Measures].[Sum of Loan Amount]" caption="Sum of Loan Amount" measure="1" displayFolder="" measureGroup="LoanDetails" count="0" oneField="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14930552" backgroundQuery="1" createdVersion="8" refreshedVersion="8" minRefreshableVersion="3" recordCount="0" supportSubquery="1" supportAdvancedDrill="1" xr:uid="{B56A33A3-369D-4E7C-80AF-E4B3B1836351}">
  <cacheSource type="external" connectionId="5"/>
  <cacheFields count="2">
    <cacheField name="[Measures].[Total NotApproved Loan]" caption="Total NotApproved Loan" numFmtId="0" hierarchy="34"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oneField="1">
      <fieldsUsage count="1">
        <fieldUsage x="0"/>
      </fieldsUsage>
    </cacheHierarchy>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18171293" backgroundQuery="1" createdVersion="8" refreshedVersion="8" minRefreshableVersion="3" recordCount="0" supportSubquery="1" supportAdvancedDrill="1" xr:uid="{D95BD94F-9312-49B3-B50E-1F57358780E3}">
  <cacheSource type="external" connectionId="5"/>
  <cacheFields count="2">
    <cacheField name="[Measures].[Sum of Requested Amount]" caption="Sum of Requested Amount" numFmtId="0" hierarchy="28"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oneField="1">
      <fieldsUsage count="1">
        <fieldUsage x="0"/>
      </fieldsUsage>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21180556" backgroundQuery="1" createdVersion="8" refreshedVersion="8" minRefreshableVersion="3" recordCount="0" supportSubquery="1" supportAdvancedDrill="1" xr:uid="{3A339AF2-AFBE-4DFD-B861-06E7D6502D69}">
  <cacheSource type="external" connectionId="5"/>
  <cacheFields count="2">
    <cacheField name="[Measures].[Sum of Loan Amount]" caption="Sum of Loan Amount" numFmtId="0" hierarchy="27"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oneField="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27546299" backgroundQuery="1" createdVersion="8" refreshedVersion="8" minRefreshableVersion="3" recordCount="0" supportSubquery="1" supportAdvancedDrill="1" xr:uid="{446E04B4-0684-49BD-977C-5DC1E5A66D0D}">
  <cacheSource type="external" connectionId="5"/>
  <cacheFields count="4">
    <cacheField name="[LoanDetails].[Officer ID].[Officer ID]" caption="Officer ID" numFmtId="0" hierarchy="14" level="1">
      <sharedItems count="10">
        <s v="EMP14"/>
        <s v="EMP15"/>
        <s v="EMP17"/>
        <s v="EMP18"/>
        <s v="EMP19"/>
        <s v="EMP2"/>
        <s v="EMP20"/>
        <s v="EMP5"/>
        <s v="EMP6"/>
        <s v="EMP9"/>
      </sharedItems>
    </cacheField>
    <cacheField name="[Measures].[Average of Work Efficiency]" caption="Average of Work Efficiency" numFmtId="0" hierarchy="31" level="32767"/>
    <cacheField name="[Measures].[Sum of Loan Amount]" caption="Sum of Loan Amount" numFmtId="0" hierarchy="27"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0"/>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3"/>
      </fieldsUsage>
    </cacheHierarchy>
    <cacheHierarchy uniqueName="[Measures].[Sum of Loan Amount]" caption="Sum of Loan Amount" measure="1" displayFolder="" measureGroup="LoanDetails" count="0" oneField="1">
      <fieldsUsage count="1">
        <fieldUsage x="2"/>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oneField="1">
      <fieldsUsage count="1">
        <fieldUsage x="1"/>
      </fieldsUsage>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30208332" backgroundQuery="1" createdVersion="8" refreshedVersion="8" minRefreshableVersion="3" recordCount="0" supportSubquery="1" supportAdvancedDrill="1" xr:uid="{41CD4D74-8441-4F3E-AF5F-44425DA1C182}">
  <cacheSource type="external" connectionId="5"/>
  <cacheFields count="2">
    <cacheField name="[Measures].[No. Of Approved Applications]" caption="No. Of Approved Applications" numFmtId="0" hierarchy="37"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oneField="1">
      <fieldsUsage count="1">
        <fieldUsage x="0"/>
      </fieldsUsage>
    </cacheHierarchy>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33101849" backgroundQuery="1" createdVersion="8" refreshedVersion="8" minRefreshableVersion="3" recordCount="0" supportSubquery="1" supportAdvancedDrill="1" xr:uid="{4946521D-881E-4724-8FBA-517DC264D059}">
  <cacheSource type="external" connectionId="5"/>
  <cacheFields count="2">
    <cacheField name="[Measures].[No. Of Not Approved Applications]" caption="No. Of Not Approved Applications" numFmtId="0" hierarchy="38"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oneField="1">
      <fieldsUsage count="1">
        <fieldUsage x="0"/>
      </fieldsUsage>
    </cacheHierarchy>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63634259" backgroundQuery="1" createdVersion="8" refreshedVersion="8" minRefreshableVersion="3" recordCount="0" supportSubquery="1" supportAdvancedDrill="1" xr:uid="{3E8BC454-932D-4657-AF4F-010A814E3B07}">
  <cacheSource type="external" connectionId="5"/>
  <cacheFields count="4">
    <cacheField name="[Calendar].[Year].[Year]" caption="Year" numFmtId="0" hierarchy="4" level="1">
      <sharedItems containsSemiMixedTypes="0" containsNonDate="0" containsString="0"/>
    </cacheField>
    <cacheField name="[Calendar].[Month].[Month]" caption="Month" numFmtId="0" hierarchy="6" level="1">
      <sharedItems count="12">
        <s v="January"/>
        <s v="February"/>
        <s v="March"/>
        <s v="April"/>
        <s v="May"/>
        <s v="June"/>
        <s v="July"/>
        <s v="August"/>
        <s v="September"/>
        <s v="October"/>
        <s v="November"/>
        <s v="December"/>
      </sharedItems>
    </cacheField>
    <cacheField name="[Measures].[Count of Transaction ID]" caption="Count of Transaction ID" numFmtId="0" hierarchy="29" level="32767"/>
    <cacheField name="[Products].[Product Name].[Product Name]" caption="Product Name" numFmtId="0" hierarchy="26" level="1">
      <sharedItems containsSemiMixedTypes="0" containsNonDate="0" containsString="0"/>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3"/>
      </fieldsUsage>
    </cacheHierarchy>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fieldsUsage count="1">
        <fieldUsage x="2"/>
      </fieldsUsage>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14309953702" backgroundQuery="1" createdVersion="8" refreshedVersion="8" minRefreshableVersion="3" recordCount="0" supportSubquery="1" supportAdvancedDrill="1" xr:uid="{FDFEED16-B262-4580-B760-A39B8A199C84}">
  <cacheSource type="external" connectionId="5"/>
  <cacheFields count="3">
    <cacheField name="[LoanDetails].[Officer ID].[Officer ID]" caption="Officer ID" numFmtId="0" hierarchy="14" level="1">
      <sharedItems count="1">
        <s v="EMP9"/>
      </sharedItems>
    </cacheField>
    <cacheField name="[Measures].[Average of Work Efficiency]" caption="Average of Work Efficiency" numFmtId="0" hierarchy="31" level="32767"/>
    <cacheField name="[Measures].[Sum of Loan Amount]" caption="Sum of Loan Amount" numFmtId="0" hierarchy="27" level="32767"/>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0"/>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Sum of Loan Amount]" caption="Sum of Loan Amount" measure="1" displayFolder="" measureGroup="LoanDetails" count="0" oneField="1">
      <fieldsUsage count="1">
        <fieldUsage x="2"/>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oneField="1">
      <fieldsUsage count="1">
        <fieldUsage x="1"/>
      </fieldsUsage>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2408171296" backgroundQuery="1" createdVersion="8" refreshedVersion="8" minRefreshableVersion="3" recordCount="0" supportSubquery="1" supportAdvancedDrill="1" xr:uid="{00AD8845-F435-4B9D-9796-5F9DF6061B6B}">
  <cacheSource type="external" connectionId="5"/>
  <cacheFields count="2">
    <cacheField name="[Measures].[Sum of Loan Amount]" caption="Sum of Loan Amount" numFmtId="0" hierarchy="27" level="32767"/>
    <cacheField name="[Branch].[Branch Name].[Branch Name]" caption="Branch Name" numFmtId="0" hierarchy="1" level="1">
      <sharedItems count="10">
        <s v="Angelastad"/>
        <s v="East Carrie"/>
        <s v="East Jenniferfort"/>
        <s v="Franciscoport"/>
        <s v="Hernandezhaven"/>
        <s v="Marciaville"/>
        <s v="North Phillip"/>
        <s v="Porterton"/>
        <s v="West Sarah"/>
        <s v="Williamhaven"/>
      </sharedItems>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Sum of Loan Amount]" caption="Sum of Loan Amount" measure="1" displayFolder="" measureGroup="LoanDetails" count="0" oneField="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33229398148" backgroundQuery="1" createdVersion="8" refreshedVersion="8" minRefreshableVersion="3" recordCount="0" supportSubquery="1" supportAdvancedDrill="1" xr:uid="{0139AC9D-1608-42F5-8D82-3E97BFA149B3}">
  <cacheSource type="external" connectionId="5"/>
  <cacheFields count="2">
    <cacheField name="[Measures].[Sum of Loan Amount]" caption="Sum of Loan Amount" numFmtId="0" hierarchy="27" level="32767"/>
    <cacheField name="[Products].[Product Name].[Product Name]" caption="Product Name" numFmtId="0" hierarchy="26" level="1">
      <sharedItems count="5">
        <s v="Auto Loan"/>
        <s v="Business Loan"/>
        <s v="Education Loan"/>
        <s v="Home Loan"/>
        <s v="Personal Loan"/>
      </sharedItems>
    </cacheField>
  </cacheFields>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Sum of Loan Amount]" caption="Sum of Loan Amount" measure="1" displayFolder="" measureGroup="LoanDetails" count="0" oneField="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596759256" backgroundQuery="1" createdVersion="3" refreshedVersion="8" minRefreshableVersion="3" recordCount="0" supportSubquery="1" supportAdvancedDrill="1" xr:uid="{FE2779C1-23A5-43C8-ACD5-C8492E92A58F}">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322566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a Tawfiq" refreshedDate="46295.503597453702" backgroundQuery="1" createdVersion="3" refreshedVersion="8" minRefreshableVersion="3" recordCount="0" supportSubquery="1" supportAdvancedDrill="1" xr:uid="{DA25E651-1A9D-4F8F-A334-54E570FD95D1}">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LoanDetails].[Work Efficiency]" caption="Work Efficiency" attribute="1" defaultMemberUniqueName="[LoanDetails].[Work Efficiency].[All]" allUniqueName="[LoanDetails].[Work Efficiency].[All]" dimensionUniqueName="[LoanDetail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Sum of Loan Amount]" caption="Sum of Loan Amount" measure="1" displayFolder="" measureGroup="LoanDetails" count="0">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extLst>
        <ext xmlns:x15="http://schemas.microsoft.com/office/spreadsheetml/2010/11/main" uri="{B97F6D7D-B522-45F9-BDA1-12C45D357490}">
          <x15:cacheHierarchy aggregatedColumn="10"/>
        </ext>
      </extLst>
    </cacheHierarchy>
    <cacheHierarchy uniqueName="[Measures].[Sum of Work Efficiency]" caption="Sum of Work Efficiency" measure="1" displayFolder="" measureGroup="LoanDetails" count="0">
      <extLst>
        <ext xmlns:x15="http://schemas.microsoft.com/office/spreadsheetml/2010/11/main" uri="{B97F6D7D-B522-45F9-BDA1-12C45D357490}">
          <x15:cacheHierarchy aggregatedColumn="24"/>
        </ext>
      </extLst>
    </cacheHierarchy>
    <cacheHierarchy uniqueName="[Measures].[Average of Work Efficiency]" caption="Average of Work Efficiency" measure="1" displayFolder="" measureGroup="LoanDetails" count="0">
      <extLst>
        <ext xmlns:x15="http://schemas.microsoft.com/office/spreadsheetml/2010/11/main" uri="{B97F6D7D-B522-45F9-BDA1-12C45D357490}">
          <x15:cacheHierarchy aggregatedColumn="24"/>
        </ext>
      </extLst>
    </cacheHierarchy>
    <cacheHierarchy uniqueName="[Measures].[Count of Approval Status]" caption="Count of Approval Status" measure="1" displayFolder="" measureGroup="LoanDetails" count="0">
      <extLst>
        <ext xmlns:x15="http://schemas.microsoft.com/office/spreadsheetml/2010/11/main" uri="{B97F6D7D-B522-45F9-BDA1-12C45D357490}">
          <x15:cacheHierarchy aggregatedColumn="20"/>
        </ext>
      </extLst>
    </cacheHierarchy>
    <cacheHierarchy uniqueName="[Measures].[Total Approved Loan]" caption="Total Approved Loan" measure="1" displayFolder="" measureGroup="LoanDetails" count="0"/>
    <cacheHierarchy uniqueName="[Measures].[Total NotApproved Loan]" caption="Total NotApproved Loan" measure="1" displayFolder="" measureGroup="LoanDetails" count="0"/>
    <cacheHierarchy uniqueName="[Measures].[AVG.WorkEfficiency]" caption="AVG.WorkEfficiency" measure="1" displayFolder="" measureGroup="LoanDetails" count="0"/>
    <cacheHierarchy uniqueName="[Measures].[Number Of Cases]" caption="Number Of Cases" measure="1" displayFolder="" measureGroup="LoanDetails" count="0"/>
    <cacheHierarchy uniqueName="[Measures].[No. Of Approved Applications]" caption="No. Of Approved Applications" measure="1" displayFolder="" measureGroup="LoanDetails" count="0"/>
    <cacheHierarchy uniqueName="[Measures].[No. Of Not Approved Applications]" caption="No. Of Not Approved Applications" measure="1" displayFolder="" measureGroup="LoanDetails" count="0"/>
    <cacheHierarchy uniqueName="[Measures].[Approved Amount (Approved Applications)]" caption="Approved Amount (Approved Applications)" measure="1" displayFolder="" measureGroup="LoanDetails" count="0"/>
    <cacheHierarchy uniqueName="[Measures].[Approval Amount Rate %]" caption="Approval Amount Rate %" measure="1" displayFolder="" measureGroup="LoanDetails" count="0"/>
    <cacheHierarchy uniqueName="[Measures].[Total Requested Loan Amount]" caption="Total Requested Loan Amount" measure="1" displayFolder="" measureGroup="LoanDetails" count="0"/>
    <cacheHierarchy uniqueName="[Measures].[AVG TAT]" caption="AVG TAT" measure="1" displayFolder="" measureGroup="LoanDetails" count="0"/>
    <cacheHierarchy uniqueName="[Measures].[AVG SLA]" caption="AVG 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428285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C23D5-8F41-4F9F-B2F6-75E818752FC3}" name="NotApprovedApps" cacheId="1110" applyNumberFormats="0" applyBorderFormats="0" applyFontFormats="0" applyPatternFormats="0" applyAlignmentFormats="0" applyWidthHeightFormats="1" dataCaption="Values" tag="79104b36-dfb6-42f9-a734-eded3fcfecd3" updatedVersion="8" minRefreshableVersion="5" itemPrintTitles="1" createdVersion="8"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C094ED-01A2-4029-8FE7-6EBF12355C54}" name="ApprovedApps" cacheId="1107" applyNumberFormats="0" applyBorderFormats="0" applyFontFormats="0" applyPatternFormats="0" applyAlignmentFormats="0" applyWidthHeightFormats="1" dataCaption="Values" tag="5750f092-6ef9-49ee-82e6-2dc125521447" updatedVersion="8" minRefreshableVersion="5" useAutoFormatting="1" itemPrintTitles="1" createdVersion="8" indent="0" outline="1" outlineData="1" multipleFieldFilters="0">
  <location ref="E9:E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8476C1-99C5-42F0-A4B5-4CDC05575508}" name="LineChart" cacheId="1113" applyNumberFormats="0" applyBorderFormats="0" applyFontFormats="0" applyPatternFormats="0" applyAlignmentFormats="0" applyWidthHeightFormats="1" dataCaption="Values" tag="af5092ed-7ddf-4704-9e73-29a1a667151a" updatedVersion="8" minRefreshableVersion="5" useAutoFormatting="1" subtotalHiddenItems="1" rowGrandTotals="0" itemPrintTitles="1" createdVersion="8" indent="0" outline="1" outlineData="1" multipleFieldFilters="0" chartFormat="10">
  <location ref="I63:J75"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pageFields count="1">
    <pageField fld="0" hier="4" name="[Calendar].[Year].[All]" cap="All"/>
  </pageFields>
  <dataFields count="1">
    <dataField name="Count of Transaction ID" fld="2" subtotal="count" baseField="0" baseItem="0"/>
  </dataFields>
  <chartFormats count="1">
    <chartFormat chart="5"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pivotHierarchy dragToData="1"/>
    <pivotHierarchy dragToData="1"/>
    <pivotHierarchy dragToData="1" caption="Average of Work Efficienc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7FBD6D-ED74-4871-835C-8274CD312EFB}" name="NumberOfCases" cacheId="1083" applyNumberFormats="0" applyBorderFormats="0" applyFontFormats="0" applyPatternFormats="0" applyAlignmentFormats="0" applyWidthHeightFormats="1" dataCaption="Values" tag="492aa807-e780-4b28-aa1f-b735c22f8cdc" updatedVersion="8" minRefreshableVersion="5" itemPrintTitles="1" createdVersion="8" indent="0" outline="1" outlineData="1" multipleFieldFilters="0">
  <location ref="C19:C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CASES" fld="0" subtotal="count" baseField="0" baseItem="0" numFmtId="164"/>
  </dataFields>
  <formats count="7">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pivotHierarchy dragToData="1" caption="NUMBER OF CAS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B45B72-044D-4A64-8BBA-F938EADFF097}" name="TotalRequestedAmount" cacheId="1095" applyNumberFormats="0" applyBorderFormats="0" applyFontFormats="0" applyPatternFormats="0" applyAlignmentFormats="0" applyWidthHeightFormats="1" dataCaption="Values" tag="05d0caf7-5ed6-49d2-951f-4d4cdb64188c" updatedVersion="8" minRefreshableVersion="5" itemPrintTitles="1" createdVersion="8" indent="0" outline="1" outlineData="1" multipleFieldFilters="0">
  <location ref="C14:C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QUESTED AMOUNT" fld="0" baseField="0" baseItem="0" numFmtId="164"/>
  </dataFields>
  <formats count="7">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caption="TOTAL REQUESTED AM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D31E36-08E8-4F6F-8CD8-1CDDE66C6115}" name="OfficersPieChart" cacheId="1086" applyNumberFormats="0" applyBorderFormats="0" applyFontFormats="0" applyPatternFormats="0" applyAlignmentFormats="0" applyWidthHeightFormats="1" dataCaption="Values" tag="d62746e0-4c0c-42a6-befb-af169756df6d" updatedVersion="8" minRefreshableVersion="5" useAutoFormatting="1" subtotalHiddenItems="1" rowGrandTotals="0" itemPrintTitles="1" createdVersion="8" indent="0" outline="1" outlineData="1" multipleFieldFilters="0" chartFormat="6">
  <location ref="I49:J54"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v="1"/>
    </i>
    <i>
      <x v="3"/>
    </i>
    <i>
      <x v="2"/>
    </i>
    <i>
      <x/>
    </i>
  </rowItems>
  <colItems count="1">
    <i/>
  </colItems>
  <dataFields count="1">
    <dataField name="TOTAL SALES" fld="0" baseField="0" baseItem="0"/>
  </dataField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C355CC-0975-4F4B-A2C3-914375D2C886}" name="TotalDisbursed" cacheId="1098" applyNumberFormats="0" applyBorderFormats="0" applyFontFormats="0" applyPatternFormats="0" applyAlignmentFormats="0" applyWidthHeightFormats="1" dataCaption="Values" tag="45f99311-2b02-4713-b6d9-ae984dccf152" updatedVersion="8" minRefreshableVersion="5" useAutoFormatting="1" itemPrintTitles="1" createdVersion="8" indent="0" outline="1" outlineData="1" multipleFieldFilters="0">
  <location ref="C9:C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BURSED LOAN" fld="0" baseField="0" baseItem="0" numFmtId="164"/>
  </dataFields>
  <formats count="7">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outline="0" collapsedLevelsAreSubtotals="1" fieldPosition="0"/>
    </format>
  </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DISBURSED LOA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F638E9-873C-45E0-B721-375DAB492493}" name="ProductsPieChart" cacheId="1122" applyNumberFormats="0" applyBorderFormats="0" applyFontFormats="0" applyPatternFormats="0" applyAlignmentFormats="0" applyWidthHeightFormats="1" dataCaption="Values" tag="76c9b901-fa3c-4a75-8a9f-e12b9503bc8f" updatedVersion="8" minRefreshableVersion="5" useAutoFormatting="1" subtotalHiddenItems="1" itemPrintTitles="1" createdVersion="8" indent="0" outline="1" outlineData="1" multipleFieldFilters="0" chartFormat="16">
  <location ref="I32:J38"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i>
    <i>
      <x v="1"/>
    </i>
    <i>
      <x v="2"/>
    </i>
    <i>
      <x v="3"/>
    </i>
    <i t="grand">
      <x/>
    </i>
  </rowItems>
  <colItems count="1">
    <i/>
  </colItems>
  <dataFields count="1">
    <dataField name="TOTAL SALES" fld="0" baseField="0" baseItem="0"/>
  </dataFields>
  <formats count="1">
    <format dxfId="1">
      <pivotArea collapsedLevelsAreSubtotals="1" fieldPosition="0">
        <references count="1">
          <reference field="1" count="0"/>
        </references>
      </pivotArea>
    </format>
  </formats>
  <chartFormats count="6">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FBEF8D-985D-4C24-BF91-7C535C6BB596}" name="ColumnChart" cacheId="1119" applyNumberFormats="0" applyBorderFormats="0" applyFontFormats="0" applyPatternFormats="0" applyAlignmentFormats="0" applyWidthHeightFormats="1" dataCaption="Values" tag="9514ad46-c7f8-4ab6-ac2f-5b2b9c3f7a71" updatedVersion="8" minRefreshableVersion="5" useAutoFormatting="1" subtotalHiddenItems="1" itemPrintTitles="1" createdVersion="8" indent="0" outline="1" outlineData="1" multipleFieldFilters="0" chartFormat="17">
  <location ref="I9:J20" firstHeaderRow="1" firstDataRow="1" firstDataCol="1"/>
  <pivotFields count="2">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3"/>
    </i>
    <i>
      <x v="2"/>
    </i>
    <i>
      <x/>
    </i>
    <i>
      <x v="7"/>
    </i>
    <i>
      <x v="6"/>
    </i>
    <i>
      <x v="5"/>
    </i>
    <i>
      <x v="9"/>
    </i>
    <i>
      <x v="8"/>
    </i>
    <i>
      <x v="1"/>
    </i>
    <i t="grand">
      <x/>
    </i>
  </rowItems>
  <colItems count="1">
    <i/>
  </colItems>
  <dataFields count="1">
    <dataField name="TOTAL SALES" fld="0" baseField="0" baseItem="0"/>
  </dataFields>
  <formats count="1">
    <format dxfId="5">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173C0A-E3FF-4455-877B-5953C3DAFDEA}" name="TOP1OFFICER" cacheId="1116" applyNumberFormats="0" applyBorderFormats="0" applyFontFormats="0" applyPatternFormats="0" applyAlignmentFormats="0" applyWidthHeightFormats="1" dataCaption="Values" tag="391e4e80-db08-4532-a6ef-9cf5f18e8674" updatedVersion="8" minRefreshableVersion="5" useAutoFormatting="1" rowGrandTotals="0" itemPrintTitles="1" createdVersion="8" indent="0" outline="1" outlineData="1" multipleFieldFilters="0" chartFormat="18">
  <location ref="C31:E32" firstHeaderRow="0"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
    <i>
      <x/>
    </i>
  </rowItems>
  <colFields count="1">
    <field x="-2"/>
  </colFields>
  <colItems count="2">
    <i>
      <x/>
    </i>
    <i i="1">
      <x v="1"/>
    </i>
  </colItems>
  <dataFields count="2">
    <dataField name="Average of Work Efficiency" fld="1" subtotal="average" baseField="0" baseItem="0" numFmtId="165"/>
    <dataField name="Sum of Loan Amount" fld="2" baseField="0" baseItem="0"/>
  </dataFields>
  <formats count="1">
    <format dxfId="29">
      <pivotArea outline="0" collapsedLevelsAreSubtotals="1" fieldPosition="0"/>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Work Efficienc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6" iMeasureHier="31">
      <autoFilter ref="A1">
        <filterColumn colId="0">
          <top10 val="1" filterVal="1"/>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79D2A8-5F2D-47DA-8A9C-E195D7004847}" name="TOP10PERFORMANCE" cacheId="1104" applyNumberFormats="0" applyBorderFormats="0" applyFontFormats="0" applyPatternFormats="0" applyAlignmentFormats="0" applyWidthHeightFormats="1" dataCaption="Values" tag="0734f5fe-e025-42da-aeab-34c1480f18bd" updatedVersion="8" minRefreshableVersion="5" useAutoFormatting="1" rowGrandTotals="0" itemPrintTitles="1" createdVersion="8" indent="0" outline="1" outlineData="1" multipleFieldFilters="0" chartFormat="18">
  <location ref="I78:K88"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4"/>
    </i>
    <i>
      <x v="2"/>
    </i>
    <i>
      <x v="1"/>
    </i>
    <i>
      <x v="7"/>
    </i>
    <i>
      <x v="8"/>
    </i>
    <i>
      <x v="9"/>
    </i>
    <i>
      <x v="5"/>
    </i>
    <i>
      <x/>
    </i>
    <i>
      <x v="3"/>
    </i>
    <i>
      <x v="6"/>
    </i>
  </rowItems>
  <colFields count="1">
    <field x="-2"/>
  </colFields>
  <colItems count="2">
    <i>
      <x/>
    </i>
    <i i="1">
      <x v="1"/>
    </i>
  </colItems>
  <dataFields count="2">
    <dataField name="Average of Work Efficiency" fld="1" subtotal="average" baseField="0" baseItem="0" numFmtId="165"/>
    <dataField name="Sum of Loan Amount" fld="2" baseField="0" baseItem="0"/>
  </dataFields>
  <formats count="1">
    <format dxfId="30">
      <pivotArea outline="0" collapsedLevelsAreSubtotals="1" fieldPosition="0"/>
    </format>
  </format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Average of Work Efficienc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31">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04E559-EB21-4BA9-BFC7-D1287E5A3552}" name="TotalNotApprovedLoan" cacheId="1092" applyNumberFormats="0" applyBorderFormats="0" applyFontFormats="0" applyPatternFormats="0" applyAlignmentFormats="0" applyWidthHeightFormats="1" dataCaption="Values" tag="253be129-b0f1-4dfa-b9d1-f31cb5662ccf" updatedVersion="8" minRefreshableVersion="5" useAutoFormatting="1" itemPrintTitles="1" createdVersion="8" indent="0" outline="1" outlineData="1" multipleFieldFilters="0">
  <location ref="C24:C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7">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outline="0" collapsedLevelsAreSubtotals="1" fieldPosition="0"/>
    </format>
  </formats>
  <pivotHierarchies count="49">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TOTAL SALE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614CF01-537A-4AE0-9D20-95A4611E6884}" sourceName="[Products].[Product Name]">
  <pivotTables>
    <pivotTable tabId="1" name="ColumnChart"/>
    <pivotTable tabId="1" name="LineChart"/>
    <pivotTable tabId="1" name="NumberOfCases"/>
    <pivotTable tabId="1" name="OfficersPieChart"/>
    <pivotTable tabId="1" name="ProductsPieChart"/>
    <pivotTable tabId="1" name="TotalNotApprovedLoan"/>
    <pivotTable tabId="1" name="TotalRequestedAmount"/>
    <pivotTable tabId="1" name="TotalDisbursed"/>
    <pivotTable tabId="1" name="TOP1OFFICER"/>
    <pivotTable tabId="1" name="TOP10PERFORMANCE"/>
    <pivotTable tabId="1" name="ApprovedApps"/>
    <pivotTable tabId="1" name="NotApprovedApps"/>
  </pivotTables>
  <data>
    <olap pivotCacheId="513225661">
      <levels count="2">
        <level uniqueName="[Products].[Product Name].[(All)]" sourceCaption="(All)" count="0"/>
        <level uniqueName="[Products].[Product Name].[Product Name]" sourceCaption="Product Name" count="5">
          <ranges>
            <range startItem="0">
              <i n="[Products].[Product Name].&amp;[Auto Loan]" c="Auto Loan"/>
              <i n="[Products].[Product Name].&amp;[Business Loan]" c="Business Loan"/>
              <i n="[Products].[Product Name].&amp;[Education Loan]" c="Education Loan"/>
              <i n="[Products].[Product Name].&amp;[Home Loan]" c="Home Loan"/>
              <i n="[Products].[Product Name].&amp;[Personal Loan]" c="Personal Loan"/>
            </range>
          </ranges>
        </level>
      </levels>
      <selections count="1">
        <selection n="[Products].[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61BCADB7-BA42-4FF8-B9C9-9DF6AD25B49D}" cache="Slicer_Product_Name" level="1" style="SlicerStyleDark1" rowHeight="274320"/>
</slicers>
</file>

<file path=xl/theme/theme1.xml><?xml version="1.0" encoding="utf-8"?>
<a:theme xmlns:a="http://schemas.openxmlformats.org/drawingml/2006/main" name="Metropolitan">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409C1B0-808C-4C36-930C-CF469AE1755F}" sourceName="[Calendar].[Date]">
  <pivotTables>
    <pivotTable tabId="1" name="LineChart"/>
    <pivotTable tabId="1" name="ColumnChart"/>
    <pivotTable tabId="1" name="OfficersPieChart"/>
    <pivotTable tabId="1" name="ProductsPieChart"/>
    <pivotTable tabId="1" name="TOP10PERFORMANCE"/>
    <pivotTable tabId="1" name="NumberOfCases"/>
    <pivotTable tabId="1" name="TOP1OFFICER"/>
    <pivotTable tabId="1" name="TotalNotApprovedLoan"/>
    <pivotTable tabId="1" name="TotalRequestedAmount"/>
    <pivotTable tabId="1" name="TotalDisbursed"/>
    <pivotTable tabId="1" name="ApprovedApps"/>
    <pivotTable tabId="1" name="NotApprovedApps"/>
  </pivotTables>
  <state minimalRefreshVersion="6" lastRefreshVersion="6" pivotCacheId="134282857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6C421E6-DBA3-49AC-AA72-7054E3F8F71C}" cache="Timeline_Date" caption="Date" level="2" selectionLevel="2" scrollPosition="2023-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14F3-5683-4956-A815-FFC122F9766D}">
  <dimension ref="C2:K88"/>
  <sheetViews>
    <sheetView topLeftCell="A54" workbookViewId="0">
      <selection activeCell="I64" sqref="I64:J75"/>
      <pivotSelection pane="bottomRight" showHeader="1" extendable="1" axis="axisRow" max="12" activeRow="63" activeCol="8" previousRow="74" previousCol="8" click="1" r:id="rId3">
        <pivotArea dataOnly="0" axis="axisRow" fieldPosition="0">
          <references count="1">
            <reference field="1" count="12">
              <x v="0"/>
              <x v="1"/>
              <x v="2"/>
              <x v="3"/>
              <x v="4"/>
              <x v="5"/>
              <x v="6"/>
              <x v="7"/>
              <x v="8"/>
              <x v="9"/>
              <x v="10"/>
              <x v="11"/>
            </reference>
          </references>
        </pivotArea>
      </pivotSelection>
    </sheetView>
  </sheetViews>
  <sheetFormatPr defaultRowHeight="14.4" x14ac:dyDescent="0.3"/>
  <cols>
    <col min="3" max="3" width="13.33203125" bestFit="1" customWidth="1"/>
    <col min="4" max="4" width="25.6640625" bestFit="1" customWidth="1"/>
    <col min="5" max="5" width="19.6640625" bestFit="1" customWidth="1"/>
    <col min="9" max="10" width="13.33203125" bestFit="1" customWidth="1"/>
    <col min="11" max="11" width="19.6640625" bestFit="1" customWidth="1"/>
    <col min="12" max="12" width="10.5546875" customWidth="1"/>
  </cols>
  <sheetData>
    <row r="2" spans="3:11" ht="15" thickBot="1" x14ac:dyDescent="0.35"/>
    <row r="3" spans="3:11" x14ac:dyDescent="0.3">
      <c r="C3" s="12" t="s">
        <v>0</v>
      </c>
      <c r="D3" s="13"/>
      <c r="E3" s="14"/>
      <c r="I3" s="12" t="s">
        <v>1</v>
      </c>
      <c r="J3" s="13"/>
      <c r="K3" s="14"/>
    </row>
    <row r="4" spans="3:11" ht="15" thickBot="1" x14ac:dyDescent="0.35">
      <c r="C4" s="15"/>
      <c r="D4" s="16"/>
      <c r="E4" s="17"/>
      <c r="I4" s="15"/>
      <c r="J4" s="16"/>
      <c r="K4" s="17"/>
    </row>
    <row r="8" spans="3:11" x14ac:dyDescent="0.3">
      <c r="I8" s="11" t="s">
        <v>39</v>
      </c>
      <c r="J8" s="11"/>
    </row>
    <row r="9" spans="3:11" x14ac:dyDescent="0.3">
      <c r="C9" s="1" t="s">
        <v>58</v>
      </c>
      <c r="E9" t="s">
        <v>80</v>
      </c>
      <c r="I9" s="2" t="s">
        <v>8</v>
      </c>
      <c r="J9" t="s">
        <v>3</v>
      </c>
    </row>
    <row r="10" spans="3:11" x14ac:dyDescent="0.3">
      <c r="C10" s="7">
        <v>38506166.450000003</v>
      </c>
      <c r="E10" s="18">
        <v>545</v>
      </c>
      <c r="I10" s="4" t="s">
        <v>13</v>
      </c>
      <c r="J10" s="19">
        <v>4356335.4000000004</v>
      </c>
    </row>
    <row r="11" spans="3:11" x14ac:dyDescent="0.3">
      <c r="C11" s="5"/>
      <c r="I11" s="4" t="s">
        <v>12</v>
      </c>
      <c r="J11" s="19">
        <v>4233015.87</v>
      </c>
    </row>
    <row r="12" spans="3:11" x14ac:dyDescent="0.3">
      <c r="C12" s="5"/>
      <c r="I12" s="4" t="s">
        <v>11</v>
      </c>
      <c r="J12" s="19">
        <v>4060588.97</v>
      </c>
    </row>
    <row r="13" spans="3:11" x14ac:dyDescent="0.3">
      <c r="C13" s="5"/>
      <c r="I13" s="4" t="s">
        <v>9</v>
      </c>
      <c r="J13" s="19">
        <v>4015448.15</v>
      </c>
    </row>
    <row r="14" spans="3:11" x14ac:dyDescent="0.3">
      <c r="C14" s="1" t="s">
        <v>4</v>
      </c>
      <c r="E14" t="s">
        <v>81</v>
      </c>
      <c r="I14" s="4" t="s">
        <v>16</v>
      </c>
      <c r="J14" s="19">
        <v>3946702.22</v>
      </c>
    </row>
    <row r="15" spans="3:11" x14ac:dyDescent="0.3">
      <c r="C15" s="7">
        <v>345132306</v>
      </c>
      <c r="E15" s="18">
        <v>454</v>
      </c>
      <c r="I15" s="4" t="s">
        <v>15</v>
      </c>
      <c r="J15" s="19">
        <v>3788112</v>
      </c>
    </row>
    <row r="16" spans="3:11" x14ac:dyDescent="0.3">
      <c r="C16" s="5"/>
      <c r="I16" s="4" t="s">
        <v>14</v>
      </c>
      <c r="J16" s="19">
        <v>3639656.87</v>
      </c>
    </row>
    <row r="17" spans="3:10" x14ac:dyDescent="0.3">
      <c r="C17" s="5"/>
      <c r="I17" s="4" t="s">
        <v>18</v>
      </c>
      <c r="J17" s="19">
        <v>3558604.82</v>
      </c>
    </row>
    <row r="18" spans="3:10" x14ac:dyDescent="0.3">
      <c r="C18" s="5"/>
      <c r="I18" s="4" t="s">
        <v>17</v>
      </c>
      <c r="J18" s="19">
        <v>3526715.84</v>
      </c>
    </row>
    <row r="19" spans="3:10" x14ac:dyDescent="0.3">
      <c r="C19" s="1" t="s">
        <v>6</v>
      </c>
      <c r="I19" s="4" t="s">
        <v>10</v>
      </c>
      <c r="J19" s="19">
        <v>3380986.31</v>
      </c>
    </row>
    <row r="20" spans="3:10" x14ac:dyDescent="0.3">
      <c r="C20" s="7">
        <v>999</v>
      </c>
      <c r="I20" s="4" t="s">
        <v>19</v>
      </c>
      <c r="J20" s="18">
        <v>38506166.450000003</v>
      </c>
    </row>
    <row r="21" spans="3:10" x14ac:dyDescent="0.3">
      <c r="C21" s="5"/>
      <c r="I21" s="3"/>
      <c r="J21" s="3"/>
    </row>
    <row r="22" spans="3:10" x14ac:dyDescent="0.3">
      <c r="C22" s="5"/>
      <c r="I22" s="3"/>
      <c r="J22" s="3"/>
    </row>
    <row r="23" spans="3:10" x14ac:dyDescent="0.3">
      <c r="C23" s="5"/>
      <c r="I23" s="3"/>
      <c r="J23" s="3"/>
    </row>
    <row r="24" spans="3:10" x14ac:dyDescent="0.3">
      <c r="C24" s="1" t="s">
        <v>7</v>
      </c>
      <c r="I24" s="3"/>
      <c r="J24" s="3"/>
    </row>
    <row r="25" spans="3:10" x14ac:dyDescent="0.3">
      <c r="C25" s="7">
        <v>156933771</v>
      </c>
      <c r="I25" s="3"/>
      <c r="J25" s="3"/>
    </row>
    <row r="26" spans="3:10" x14ac:dyDescent="0.3">
      <c r="I26" s="3"/>
      <c r="J26" s="3"/>
    </row>
    <row r="27" spans="3:10" x14ac:dyDescent="0.3">
      <c r="I27" s="3"/>
      <c r="J27" s="3"/>
    </row>
    <row r="28" spans="3:10" x14ac:dyDescent="0.3">
      <c r="I28" s="3"/>
      <c r="J28" s="3"/>
    </row>
    <row r="29" spans="3:10" x14ac:dyDescent="0.3">
      <c r="I29" s="3"/>
      <c r="J29" s="3"/>
    </row>
    <row r="30" spans="3:10" x14ac:dyDescent="0.3">
      <c r="I30" s="3"/>
      <c r="J30" s="3"/>
    </row>
    <row r="31" spans="3:10" x14ac:dyDescent="0.3">
      <c r="C31" s="2" t="s">
        <v>8</v>
      </c>
      <c r="D31" t="s">
        <v>55</v>
      </c>
      <c r="E31" t="s">
        <v>2</v>
      </c>
      <c r="I31" s="11" t="s">
        <v>38</v>
      </c>
      <c r="J31" s="11"/>
    </row>
    <row r="32" spans="3:10" x14ac:dyDescent="0.3">
      <c r="C32" s="4" t="s">
        <v>36</v>
      </c>
      <c r="D32" s="8">
        <v>0.86206896551724133</v>
      </c>
      <c r="E32" s="8">
        <v>2001829.89</v>
      </c>
      <c r="I32" s="2" t="s">
        <v>8</v>
      </c>
      <c r="J32" t="s">
        <v>3</v>
      </c>
    </row>
    <row r="33" spans="9:10" x14ac:dyDescent="0.3">
      <c r="I33" s="4" t="s">
        <v>24</v>
      </c>
      <c r="J33" s="19">
        <v>8236553.2300000004</v>
      </c>
    </row>
    <row r="34" spans="9:10" x14ac:dyDescent="0.3">
      <c r="I34" s="4" t="s">
        <v>20</v>
      </c>
      <c r="J34" s="19">
        <v>8187100.4400000004</v>
      </c>
    </row>
    <row r="35" spans="9:10" x14ac:dyDescent="0.3">
      <c r="I35" s="4" t="s">
        <v>21</v>
      </c>
      <c r="J35" s="19">
        <v>8133032.2300000004</v>
      </c>
    </row>
    <row r="36" spans="9:10" x14ac:dyDescent="0.3">
      <c r="I36" s="4" t="s">
        <v>22</v>
      </c>
      <c r="J36" s="19">
        <v>7267406.7300000004</v>
      </c>
    </row>
    <row r="37" spans="9:10" x14ac:dyDescent="0.3">
      <c r="I37" s="4" t="s">
        <v>23</v>
      </c>
      <c r="J37" s="19">
        <v>6682073.8200000003</v>
      </c>
    </row>
    <row r="38" spans="9:10" x14ac:dyDescent="0.3">
      <c r="I38" s="4" t="s">
        <v>19</v>
      </c>
      <c r="J38" s="18">
        <v>38506166.450000003</v>
      </c>
    </row>
    <row r="39" spans="9:10" x14ac:dyDescent="0.3">
      <c r="I39" s="3"/>
      <c r="J39" s="3"/>
    </row>
    <row r="40" spans="9:10" x14ac:dyDescent="0.3">
      <c r="I40" s="3"/>
      <c r="J40" s="3"/>
    </row>
    <row r="41" spans="9:10" x14ac:dyDescent="0.3">
      <c r="I41" s="3"/>
      <c r="J41" s="3"/>
    </row>
    <row r="42" spans="9:10" x14ac:dyDescent="0.3">
      <c r="I42" s="3"/>
      <c r="J42" s="3"/>
    </row>
    <row r="43" spans="9:10" x14ac:dyDescent="0.3">
      <c r="I43" s="3"/>
      <c r="J43" s="3"/>
    </row>
    <row r="44" spans="9:10" x14ac:dyDescent="0.3">
      <c r="I44" s="3"/>
      <c r="J44" s="3"/>
    </row>
    <row r="45" spans="9:10" x14ac:dyDescent="0.3">
      <c r="I45" s="3"/>
      <c r="J45" s="3"/>
    </row>
    <row r="46" spans="9:10" x14ac:dyDescent="0.3">
      <c r="I46" s="3"/>
      <c r="J46" s="3"/>
    </row>
    <row r="47" spans="9:10" x14ac:dyDescent="0.3">
      <c r="I47" s="3"/>
      <c r="J47" s="3"/>
    </row>
    <row r="48" spans="9:10" x14ac:dyDescent="0.3">
      <c r="I48" s="11" t="s">
        <v>37</v>
      </c>
      <c r="J48" s="11"/>
    </row>
    <row r="49" spans="9:10" x14ac:dyDescent="0.3">
      <c r="I49" s="2" t="s">
        <v>8</v>
      </c>
      <c r="J49" t="s">
        <v>3</v>
      </c>
    </row>
    <row r="50" spans="9:10" x14ac:dyDescent="0.3">
      <c r="I50" s="4" t="s">
        <v>31</v>
      </c>
      <c r="J50" s="18">
        <v>2590664.37</v>
      </c>
    </row>
    <row r="51" spans="9:10" x14ac:dyDescent="0.3">
      <c r="I51" s="4" t="s">
        <v>26</v>
      </c>
      <c r="J51" s="18">
        <v>2488661.9</v>
      </c>
    </row>
    <row r="52" spans="9:10" x14ac:dyDescent="0.3">
      <c r="I52" s="4" t="s">
        <v>29</v>
      </c>
      <c r="J52" s="18">
        <v>2474740.66</v>
      </c>
    </row>
    <row r="53" spans="9:10" x14ac:dyDescent="0.3">
      <c r="I53" s="4" t="s">
        <v>28</v>
      </c>
      <c r="J53" s="18">
        <v>2272871.42</v>
      </c>
    </row>
    <row r="54" spans="9:10" x14ac:dyDescent="0.3">
      <c r="I54" s="4" t="s">
        <v>25</v>
      </c>
      <c r="J54" s="18">
        <v>2219630.17</v>
      </c>
    </row>
    <row r="56" spans="9:10" x14ac:dyDescent="0.3">
      <c r="I56" s="3"/>
      <c r="J56" s="3"/>
    </row>
    <row r="57" spans="9:10" x14ac:dyDescent="0.3">
      <c r="I57" s="3"/>
      <c r="J57" s="3"/>
    </row>
    <row r="58" spans="9:10" x14ac:dyDescent="0.3">
      <c r="I58" s="3"/>
      <c r="J58" s="3"/>
    </row>
    <row r="59" spans="9:10" x14ac:dyDescent="0.3">
      <c r="I59" s="3"/>
      <c r="J59" s="3"/>
    </row>
    <row r="60" spans="9:10" x14ac:dyDescent="0.3">
      <c r="I60" s="11" t="s">
        <v>54</v>
      </c>
      <c r="J60" s="11"/>
    </row>
    <row r="61" spans="9:10" x14ac:dyDescent="0.3">
      <c r="I61" s="2" t="s">
        <v>40</v>
      </c>
      <c r="J61" t="s" vm="1">
        <v>41</v>
      </c>
    </row>
    <row r="62" spans="9:10" x14ac:dyDescent="0.3">
      <c r="I62" s="3"/>
      <c r="J62" s="3"/>
    </row>
    <row r="63" spans="9:10" x14ac:dyDescent="0.3">
      <c r="I63" s="2" t="s">
        <v>8</v>
      </c>
      <c r="J63" t="s">
        <v>5</v>
      </c>
    </row>
    <row r="64" spans="9:10" x14ac:dyDescent="0.3">
      <c r="I64" s="4" t="s">
        <v>42</v>
      </c>
      <c r="J64" s="18">
        <v>78</v>
      </c>
    </row>
    <row r="65" spans="8:11" x14ac:dyDescent="0.3">
      <c r="I65" s="4" t="s">
        <v>43</v>
      </c>
      <c r="J65" s="18">
        <v>78</v>
      </c>
    </row>
    <row r="66" spans="8:11" x14ac:dyDescent="0.3">
      <c r="I66" s="4" t="s">
        <v>44</v>
      </c>
      <c r="J66" s="18">
        <v>94</v>
      </c>
    </row>
    <row r="67" spans="8:11" x14ac:dyDescent="0.3">
      <c r="I67" s="4" t="s">
        <v>45</v>
      </c>
      <c r="J67" s="18">
        <v>70</v>
      </c>
    </row>
    <row r="68" spans="8:11" x14ac:dyDescent="0.3">
      <c r="I68" s="4" t="s">
        <v>46</v>
      </c>
      <c r="J68" s="18">
        <v>76</v>
      </c>
    </row>
    <row r="69" spans="8:11" x14ac:dyDescent="0.3">
      <c r="I69" s="4" t="s">
        <v>47</v>
      </c>
      <c r="J69" s="18">
        <v>88</v>
      </c>
    </row>
    <row r="70" spans="8:11" x14ac:dyDescent="0.3">
      <c r="I70" s="4" t="s">
        <v>48</v>
      </c>
      <c r="J70" s="18">
        <v>92</v>
      </c>
    </row>
    <row r="71" spans="8:11" x14ac:dyDescent="0.3">
      <c r="I71" s="4" t="s">
        <v>49</v>
      </c>
      <c r="J71" s="18">
        <v>90</v>
      </c>
    </row>
    <row r="72" spans="8:11" x14ac:dyDescent="0.3">
      <c r="I72" s="4" t="s">
        <v>50</v>
      </c>
      <c r="J72" s="18">
        <v>81</v>
      </c>
    </row>
    <row r="73" spans="8:11" x14ac:dyDescent="0.3">
      <c r="I73" s="4" t="s">
        <v>51</v>
      </c>
      <c r="J73" s="18">
        <v>81</v>
      </c>
    </row>
    <row r="74" spans="8:11" x14ac:dyDescent="0.3">
      <c r="I74" s="4" t="s">
        <v>52</v>
      </c>
      <c r="J74" s="18">
        <v>77</v>
      </c>
    </row>
    <row r="75" spans="8:11" x14ac:dyDescent="0.3">
      <c r="I75" s="4" t="s">
        <v>53</v>
      </c>
      <c r="J75" s="18">
        <v>94</v>
      </c>
    </row>
    <row r="77" spans="8:11" x14ac:dyDescent="0.3">
      <c r="H77" s="9"/>
      <c r="I77" s="11" t="s">
        <v>56</v>
      </c>
      <c r="J77" s="11"/>
      <c r="K77" s="11"/>
    </row>
    <row r="78" spans="8:11" x14ac:dyDescent="0.3">
      <c r="I78" s="2" t="s">
        <v>8</v>
      </c>
      <c r="J78" t="s">
        <v>55</v>
      </c>
      <c r="K78" t="s">
        <v>2</v>
      </c>
    </row>
    <row r="79" spans="8:11" x14ac:dyDescent="0.3">
      <c r="I79" s="4" t="s">
        <v>31</v>
      </c>
      <c r="J79" s="8">
        <v>0.29729729729729731</v>
      </c>
      <c r="K79" s="8">
        <v>2590664.37</v>
      </c>
    </row>
    <row r="80" spans="8:11" x14ac:dyDescent="0.3">
      <c r="I80" s="4" t="s">
        <v>29</v>
      </c>
      <c r="J80" s="8">
        <v>5.2631578947368418E-2</v>
      </c>
      <c r="K80" s="8">
        <v>2474740.66</v>
      </c>
    </row>
    <row r="81" spans="9:11" x14ac:dyDescent="0.3">
      <c r="I81" s="4" t="s">
        <v>28</v>
      </c>
      <c r="J81" s="8">
        <v>0.69696969696969702</v>
      </c>
      <c r="K81" s="8">
        <v>2272871.42</v>
      </c>
    </row>
    <row r="82" spans="9:11" x14ac:dyDescent="0.3">
      <c r="I82" s="4" t="s">
        <v>34</v>
      </c>
      <c r="J82" s="8">
        <v>0.66666666666666663</v>
      </c>
      <c r="K82" s="8">
        <v>2171087.33</v>
      </c>
    </row>
    <row r="83" spans="9:11" x14ac:dyDescent="0.3">
      <c r="I83" s="4" t="s">
        <v>35</v>
      </c>
      <c r="J83" s="8">
        <v>6.8965517241379309E-2</v>
      </c>
      <c r="K83" s="8">
        <v>2122804.56</v>
      </c>
    </row>
    <row r="84" spans="9:11" x14ac:dyDescent="0.3">
      <c r="I84" s="4" t="s">
        <v>36</v>
      </c>
      <c r="J84" s="8">
        <v>0.86206896551724133</v>
      </c>
      <c r="K84" s="8">
        <v>2001829.89</v>
      </c>
    </row>
    <row r="85" spans="9:11" x14ac:dyDescent="0.3">
      <c r="I85" s="4" t="s">
        <v>32</v>
      </c>
      <c r="J85" s="8">
        <v>0.64</v>
      </c>
      <c r="K85" s="8">
        <v>1795878.32</v>
      </c>
    </row>
    <row r="86" spans="9:11" x14ac:dyDescent="0.3">
      <c r="I86" s="4" t="s">
        <v>27</v>
      </c>
      <c r="J86" s="8">
        <v>0.43478260869565216</v>
      </c>
      <c r="K86" s="8">
        <v>1754956.47</v>
      </c>
    </row>
    <row r="87" spans="9:11" x14ac:dyDescent="0.3">
      <c r="I87" s="4" t="s">
        <v>30</v>
      </c>
      <c r="J87" s="8">
        <v>0</v>
      </c>
      <c r="K87" s="8">
        <v>1204148.67</v>
      </c>
    </row>
    <row r="88" spans="9:11" x14ac:dyDescent="0.3">
      <c r="I88" s="4" t="s">
        <v>33</v>
      </c>
      <c r="J88" s="8">
        <v>0.26666666666666666</v>
      </c>
      <c r="K88" s="8">
        <v>1027843.6</v>
      </c>
    </row>
  </sheetData>
  <mergeCells count="7">
    <mergeCell ref="I77:K77"/>
    <mergeCell ref="C3:E4"/>
    <mergeCell ref="I3:K4"/>
    <mergeCell ref="I48:J48"/>
    <mergeCell ref="I31:J31"/>
    <mergeCell ref="I8:J8"/>
    <mergeCell ref="I60:J60"/>
  </mergeCell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BB426-334F-47C0-827A-4F612EE7177D}">
  <dimension ref="K1:W2"/>
  <sheetViews>
    <sheetView showGridLines="0" workbookViewId="0">
      <selection activeCell="Y47" sqref="Y47"/>
    </sheetView>
  </sheetViews>
  <sheetFormatPr defaultRowHeight="14.4" x14ac:dyDescent="0.3"/>
  <cols>
    <col min="1" max="16384" width="8.88671875" style="6"/>
  </cols>
  <sheetData>
    <row r="1" spans="11:23" ht="14.4" customHeight="1" x14ac:dyDescent="0.3">
      <c r="K1" s="20"/>
      <c r="L1" s="20"/>
      <c r="M1" s="20"/>
      <c r="N1" s="20"/>
      <c r="O1" s="10" t="s">
        <v>57</v>
      </c>
      <c r="P1" s="10"/>
      <c r="Q1" s="10"/>
      <c r="R1" s="10"/>
      <c r="S1" s="10"/>
      <c r="T1" s="10"/>
      <c r="U1" s="10"/>
      <c r="V1" s="10"/>
      <c r="W1" s="10"/>
    </row>
    <row r="2" spans="11:23" ht="14.4" customHeight="1" x14ac:dyDescent="0.3">
      <c r="K2" s="20"/>
      <c r="L2" s="20"/>
      <c r="M2" s="20"/>
      <c r="N2" s="20"/>
      <c r="O2" s="10"/>
      <c r="P2" s="10"/>
      <c r="Q2" s="10"/>
      <c r="R2" s="10"/>
      <c r="S2" s="10"/>
      <c r="T2" s="10"/>
      <c r="U2" s="10"/>
      <c r="V2" s="10"/>
      <c r="W2" s="10"/>
    </row>
  </sheetData>
  <mergeCells count="1">
    <mergeCell ref="O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0F69-05EF-4972-B60E-3E80E2B2359A}">
  <dimension ref="A1:J31"/>
  <sheetViews>
    <sheetView tabSelected="1" topLeftCell="G1" workbookViewId="0">
      <selection activeCell="J1" sqref="J1:J2"/>
    </sheetView>
  </sheetViews>
  <sheetFormatPr defaultRowHeight="14.4" x14ac:dyDescent="0.3"/>
  <cols>
    <col min="1" max="1" width="29.33203125" bestFit="1" customWidth="1"/>
    <col min="2" max="2" width="58.77734375" bestFit="1" customWidth="1"/>
    <col min="3" max="3" width="13.6640625" bestFit="1" customWidth="1"/>
    <col min="4" max="4" width="25.6640625" bestFit="1" customWidth="1"/>
    <col min="5" max="5" width="14.88671875" bestFit="1" customWidth="1"/>
    <col min="6" max="6" width="13.33203125" bestFit="1" customWidth="1"/>
    <col min="7" max="7" width="95.109375" style="23" bestFit="1" customWidth="1"/>
    <col min="10" max="10" width="18.33203125" bestFit="1" customWidth="1"/>
  </cols>
  <sheetData>
    <row r="1" spans="1:10" s="21" customFormat="1" x14ac:dyDescent="0.3">
      <c r="A1" s="24" t="s">
        <v>59</v>
      </c>
      <c r="B1" s="24" t="s">
        <v>60</v>
      </c>
      <c r="C1" s="24" t="s">
        <v>61</v>
      </c>
      <c r="D1" s="37" t="s">
        <v>62</v>
      </c>
      <c r="E1" s="37"/>
      <c r="F1" s="24" t="s">
        <v>63</v>
      </c>
      <c r="G1" s="25" t="s">
        <v>64</v>
      </c>
    </row>
    <row r="2" spans="1:10" s="21" customFormat="1" ht="28.8" x14ac:dyDescent="0.3">
      <c r="A2" s="21" t="s">
        <v>75</v>
      </c>
      <c r="B2" s="21" t="s">
        <v>76</v>
      </c>
      <c r="C2" s="27" t="s">
        <v>41</v>
      </c>
      <c r="D2" s="27" t="s">
        <v>78</v>
      </c>
      <c r="E2" s="27"/>
      <c r="F2" s="31">
        <v>345132306</v>
      </c>
      <c r="G2" s="25"/>
      <c r="J2" s="28"/>
    </row>
    <row r="3" spans="1:10" s="21" customFormat="1" ht="28.8" x14ac:dyDescent="0.3">
      <c r="C3" s="27" t="s">
        <v>41</v>
      </c>
      <c r="D3" s="27" t="s">
        <v>77</v>
      </c>
      <c r="E3" s="27"/>
      <c r="F3" s="31">
        <v>38506166</v>
      </c>
      <c r="G3" s="29"/>
      <c r="J3" s="28"/>
    </row>
    <row r="4" spans="1:10" s="21" customFormat="1" x14ac:dyDescent="0.3">
      <c r="A4" s="24"/>
      <c r="B4" s="24"/>
      <c r="C4" s="27" t="s">
        <v>41</v>
      </c>
      <c r="D4" s="27" t="s">
        <v>68</v>
      </c>
      <c r="E4" s="27"/>
      <c r="F4" s="31">
        <f>F2-F3</f>
        <v>306626140</v>
      </c>
      <c r="G4" s="25"/>
      <c r="J4" s="28"/>
    </row>
    <row r="5" spans="1:10" s="21" customFormat="1" x14ac:dyDescent="0.3">
      <c r="A5" s="24"/>
      <c r="B5" s="24"/>
      <c r="C5" s="27"/>
      <c r="D5" s="27" t="s">
        <v>87</v>
      </c>
      <c r="E5" s="27"/>
      <c r="F5" s="32">
        <f>F4/F2</f>
        <v>0.88843071097493842</v>
      </c>
      <c r="G5" s="25"/>
      <c r="J5" s="28"/>
    </row>
    <row r="6" spans="1:10" s="21" customFormat="1" x14ac:dyDescent="0.3">
      <c r="C6" s="27" t="s">
        <v>41</v>
      </c>
      <c r="D6" s="27" t="s">
        <v>85</v>
      </c>
      <c r="E6" s="27"/>
      <c r="F6" s="32">
        <f>F3/F2</f>
        <v>0.11156928902506159</v>
      </c>
      <c r="G6" s="29" t="s">
        <v>79</v>
      </c>
      <c r="J6" s="28"/>
    </row>
    <row r="7" spans="1:10" s="21" customFormat="1" x14ac:dyDescent="0.3">
      <c r="C7" s="27" t="s">
        <v>41</v>
      </c>
      <c r="D7" s="27" t="s">
        <v>82</v>
      </c>
      <c r="E7" s="27"/>
      <c r="F7" s="33">
        <v>545</v>
      </c>
      <c r="G7" s="29"/>
      <c r="J7" s="28"/>
    </row>
    <row r="8" spans="1:10" s="21" customFormat="1" x14ac:dyDescent="0.3">
      <c r="C8" s="27" t="s">
        <v>41</v>
      </c>
      <c r="D8" s="27" t="s">
        <v>83</v>
      </c>
      <c r="E8" s="27"/>
      <c r="F8" s="33">
        <v>454</v>
      </c>
      <c r="G8" s="29"/>
      <c r="J8" s="28"/>
    </row>
    <row r="9" spans="1:10" s="21" customFormat="1" x14ac:dyDescent="0.3">
      <c r="C9" s="27" t="s">
        <v>41</v>
      </c>
      <c r="D9" s="27" t="s">
        <v>84</v>
      </c>
      <c r="E9" s="27"/>
      <c r="F9" s="32">
        <f>F7/(F7+F8)</f>
        <v>0.54554554554554557</v>
      </c>
      <c r="G9" s="29" t="s">
        <v>86</v>
      </c>
    </row>
    <row r="10" spans="1:10" s="21" customFormat="1" x14ac:dyDescent="0.3">
      <c r="A10" s="24" t="s">
        <v>65</v>
      </c>
      <c r="B10" s="24" t="s">
        <v>66</v>
      </c>
      <c r="C10" s="27">
        <v>2023</v>
      </c>
      <c r="D10" s="30" t="s">
        <v>67</v>
      </c>
      <c r="E10" s="30"/>
      <c r="F10" s="31">
        <v>19290050</v>
      </c>
      <c r="G10" s="25"/>
    </row>
    <row r="11" spans="1:10" s="21" customFormat="1" ht="28.8" x14ac:dyDescent="0.3">
      <c r="A11" s="24"/>
      <c r="B11" s="24"/>
      <c r="C11" s="27">
        <v>2023</v>
      </c>
      <c r="D11" s="27" t="s">
        <v>78</v>
      </c>
      <c r="E11" s="27"/>
      <c r="F11" s="31">
        <v>169662815</v>
      </c>
      <c r="G11" s="25"/>
    </row>
    <row r="12" spans="1:10" s="21" customFormat="1" x14ac:dyDescent="0.3">
      <c r="A12" s="24"/>
      <c r="B12" s="24"/>
      <c r="C12" s="27">
        <v>2023</v>
      </c>
      <c r="D12" s="27" t="s">
        <v>88</v>
      </c>
      <c r="E12" s="27"/>
      <c r="F12" s="27">
        <f>273+219</f>
        <v>492</v>
      </c>
      <c r="G12" s="25"/>
    </row>
    <row r="13" spans="1:10" s="21" customFormat="1" x14ac:dyDescent="0.3">
      <c r="A13" s="24"/>
      <c r="B13" s="24"/>
      <c r="C13" s="27">
        <v>2024</v>
      </c>
      <c r="D13" s="27" t="s">
        <v>67</v>
      </c>
      <c r="E13" s="27"/>
      <c r="F13" s="31">
        <v>19216117</v>
      </c>
      <c r="G13" s="25"/>
    </row>
    <row r="14" spans="1:10" s="21" customFormat="1" ht="28.8" x14ac:dyDescent="0.3">
      <c r="A14" s="24"/>
      <c r="B14" s="24"/>
      <c r="C14" s="27">
        <v>2024</v>
      </c>
      <c r="D14" s="27" t="s">
        <v>78</v>
      </c>
      <c r="E14" s="27"/>
      <c r="F14" s="31">
        <v>175469491</v>
      </c>
      <c r="G14" s="25"/>
    </row>
    <row r="15" spans="1:10" s="21" customFormat="1" ht="72" x14ac:dyDescent="0.3">
      <c r="A15" s="24"/>
      <c r="B15" s="24"/>
      <c r="C15" s="27">
        <v>2024</v>
      </c>
      <c r="D15" s="27" t="s">
        <v>88</v>
      </c>
      <c r="E15" s="27"/>
      <c r="F15" s="27">
        <f>272+235</f>
        <v>507</v>
      </c>
      <c r="G15" s="25" t="s">
        <v>89</v>
      </c>
    </row>
    <row r="16" spans="1:10" s="21" customFormat="1" x14ac:dyDescent="0.3">
      <c r="A16" s="24" t="s">
        <v>73</v>
      </c>
      <c r="B16" s="24" t="s">
        <v>69</v>
      </c>
      <c r="C16" s="27" t="s">
        <v>70</v>
      </c>
      <c r="D16" s="27" t="s">
        <v>67</v>
      </c>
      <c r="E16" s="27" t="s">
        <v>90</v>
      </c>
      <c r="F16" s="27"/>
      <c r="G16" s="25"/>
    </row>
    <row r="17" spans="1:7" s="21" customFormat="1" x14ac:dyDescent="0.3">
      <c r="A17" s="24"/>
      <c r="B17" s="24"/>
      <c r="C17" s="30" t="s">
        <v>28</v>
      </c>
      <c r="D17" s="34">
        <v>2272871.42</v>
      </c>
      <c r="E17" s="35">
        <v>0.69696969696969702</v>
      </c>
      <c r="F17" s="27"/>
      <c r="G17" s="25"/>
    </row>
    <row r="18" spans="1:7" s="21" customFormat="1" x14ac:dyDescent="0.3">
      <c r="A18" s="24"/>
      <c r="B18" s="24"/>
      <c r="C18" s="30" t="s">
        <v>34</v>
      </c>
      <c r="D18" s="34">
        <v>2171087.33</v>
      </c>
      <c r="E18" s="35">
        <v>0.66666666666666663</v>
      </c>
      <c r="F18" s="27"/>
      <c r="G18" s="25"/>
    </row>
    <row r="19" spans="1:7" s="21" customFormat="1" x14ac:dyDescent="0.3">
      <c r="A19" s="24"/>
      <c r="B19" s="24"/>
      <c r="C19" s="30" t="s">
        <v>36</v>
      </c>
      <c r="D19" s="34">
        <v>2001829.89</v>
      </c>
      <c r="E19" s="35">
        <v>0.86206896551724133</v>
      </c>
      <c r="F19" s="27"/>
      <c r="G19" s="25"/>
    </row>
    <row r="20" spans="1:7" s="21" customFormat="1" x14ac:dyDescent="0.3">
      <c r="A20" s="24"/>
      <c r="B20" s="24"/>
      <c r="C20" s="30" t="s">
        <v>32</v>
      </c>
      <c r="D20" s="34">
        <v>1795878.32</v>
      </c>
      <c r="E20" s="35">
        <v>0.64</v>
      </c>
      <c r="F20" s="27"/>
      <c r="G20" s="25"/>
    </row>
    <row r="21" spans="1:7" s="21" customFormat="1" ht="100.8" x14ac:dyDescent="0.3">
      <c r="A21" s="24"/>
      <c r="B21" s="24"/>
      <c r="C21" s="30" t="s">
        <v>27</v>
      </c>
      <c r="D21" s="34">
        <v>1754956.47</v>
      </c>
      <c r="E21" s="35">
        <v>0.43478260869565216</v>
      </c>
      <c r="F21" s="27"/>
      <c r="G21" s="25" t="s">
        <v>97</v>
      </c>
    </row>
    <row r="22" spans="1:7" s="21" customFormat="1" ht="28.8" x14ac:dyDescent="0.3">
      <c r="A22" s="24" t="s">
        <v>74</v>
      </c>
      <c r="B22" s="24" t="s">
        <v>71</v>
      </c>
      <c r="C22" s="27" t="s">
        <v>72</v>
      </c>
      <c r="D22" s="27" t="s">
        <v>91</v>
      </c>
      <c r="E22" s="27" t="s">
        <v>92</v>
      </c>
      <c r="F22" s="27" t="s">
        <v>98</v>
      </c>
    </row>
    <row r="23" spans="1:7" s="21" customFormat="1" ht="28.8" x14ac:dyDescent="0.3">
      <c r="B23" s="21" t="s">
        <v>93</v>
      </c>
      <c r="C23" s="30"/>
      <c r="D23" s="30" t="s">
        <v>95</v>
      </c>
      <c r="E23" s="30" t="s">
        <v>94</v>
      </c>
      <c r="F23" s="36">
        <f>(5.0679-5)/5</f>
        <v>1.3579999999999971E-2</v>
      </c>
      <c r="G23" s="25" t="s">
        <v>96</v>
      </c>
    </row>
    <row r="24" spans="1:7" s="21" customFormat="1" ht="43.2" x14ac:dyDescent="0.3">
      <c r="A24" s="21" t="s">
        <v>99</v>
      </c>
      <c r="B24" s="21" t="s">
        <v>109</v>
      </c>
      <c r="C24" s="30" t="s">
        <v>41</v>
      </c>
      <c r="D24" s="30" t="s">
        <v>104</v>
      </c>
      <c r="E24" s="30" t="s">
        <v>107</v>
      </c>
      <c r="F24" s="30"/>
      <c r="G24" s="26" t="s">
        <v>108</v>
      </c>
    </row>
    <row r="25" spans="1:7" s="21" customFormat="1" x14ac:dyDescent="0.3">
      <c r="A25" s="21" t="s">
        <v>100</v>
      </c>
      <c r="B25" s="21" t="s">
        <v>102</v>
      </c>
      <c r="C25" s="30" t="s">
        <v>41</v>
      </c>
      <c r="D25" s="30" t="s">
        <v>105</v>
      </c>
      <c r="E25" s="30"/>
      <c r="F25" s="30"/>
      <c r="G25" s="38" t="s">
        <v>110</v>
      </c>
    </row>
    <row r="26" spans="1:7" s="21" customFormat="1" ht="28.8" x14ac:dyDescent="0.3">
      <c r="A26" s="21" t="s">
        <v>101</v>
      </c>
      <c r="B26" s="21" t="s">
        <v>103</v>
      </c>
      <c r="C26" s="30" t="s">
        <v>41</v>
      </c>
      <c r="D26" s="30" t="s">
        <v>106</v>
      </c>
      <c r="E26" s="30" t="s">
        <v>111</v>
      </c>
      <c r="F26" s="30"/>
      <c r="G26" s="26" t="s">
        <v>112</v>
      </c>
    </row>
    <row r="27" spans="1:7" x14ac:dyDescent="0.3">
      <c r="G27"/>
    </row>
    <row r="28" spans="1:7" x14ac:dyDescent="0.3">
      <c r="G28"/>
    </row>
    <row r="31" spans="1:7" x14ac:dyDescent="0.3">
      <c r="G31" s="22"/>
    </row>
  </sheetData>
  <mergeCells count="1">
    <mergeCell ref="D1:E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8D8E9376-C7D1-4B7D-B856-39DB0C1A1ED0}">
  <ds:schemaRefs/>
</ds:datastoreItem>
</file>

<file path=customXml/itemProps2.xml><?xml version="1.0" encoding="utf-8"?>
<ds:datastoreItem xmlns:ds="http://schemas.openxmlformats.org/officeDocument/2006/customXml" ds:itemID="{7DE0182F-76FF-4B91-8A8D-82021ABBDFCD}">
  <ds:schemaRefs/>
</ds:datastoreItem>
</file>

<file path=customXml/itemProps3.xml><?xml version="1.0" encoding="utf-8"?>
<ds:datastoreItem xmlns:ds="http://schemas.openxmlformats.org/officeDocument/2006/customXml" ds:itemID="{78399D26-9257-4D9A-9573-9DEA16E945D6}">
  <ds:schemaRefs/>
</ds:datastoreItem>
</file>

<file path=customXml/itemProps4.xml><?xml version="1.0" encoding="utf-8"?>
<ds:datastoreItem xmlns:ds="http://schemas.openxmlformats.org/officeDocument/2006/customXml" ds:itemID="{87DB7191-A29B-4982-A63A-1B13FE773AA4}">
  <ds:schemaRefs/>
</ds:datastoreItem>
</file>

<file path=customXml/itemProps5.xml><?xml version="1.0" encoding="utf-8"?>
<ds:datastoreItem xmlns:ds="http://schemas.openxmlformats.org/officeDocument/2006/customXml" ds:itemID="{A9E6B2A6-6482-4A58-AC23-84E9BC407871}">
  <ds:schemaRefs/>
</ds:datastoreItem>
</file>

<file path=customXml/itemProps6.xml><?xml version="1.0" encoding="utf-8"?>
<ds:datastoreItem xmlns:ds="http://schemas.openxmlformats.org/officeDocument/2006/customXml" ds:itemID="{A8010670-6291-451F-A609-542073864E3E}">
  <ds:schemaRefs/>
</ds:datastoreItem>
</file>

<file path=customXml/itemProps7.xml><?xml version="1.0" encoding="utf-8"?>
<ds:datastoreItem xmlns:ds="http://schemas.openxmlformats.org/officeDocument/2006/customXml" ds:itemID="{200164BB-7EE3-4DD6-B298-D3197D6CA51E}">
  <ds:schemaRefs/>
</ds:datastoreItem>
</file>

<file path=customXml/itemProps8.xml><?xml version="1.0" encoding="utf-8"?>
<ds:datastoreItem xmlns:ds="http://schemas.openxmlformats.org/officeDocument/2006/customXml" ds:itemID="{B2ECEF92-F8FC-41F7-A66E-8F6043B4D2D9}">
  <ds:schemaRefs/>
</ds:datastoreItem>
</file>

<file path=customXml/itemProps9.xml><?xml version="1.0" encoding="utf-8"?>
<ds:datastoreItem xmlns:ds="http://schemas.openxmlformats.org/officeDocument/2006/customXml" ds:itemID="{7E9648A2-2917-4EAB-9F3B-EF5BBC3F8752}">
  <ds:schemaRefs>
    <ds:schemaRef ds:uri="http://schemas.microsoft.com/DataMashup"/>
  </ds:schemaRefs>
</ds:datastoreItem>
</file>

<file path=customXml/itemProps10.xml><?xml version="1.0" encoding="utf-8"?>
<ds:datastoreItem xmlns:ds="http://schemas.openxmlformats.org/officeDocument/2006/customXml" ds:itemID="{3146D1F6-CCB1-4197-B8BD-918E42F39CC1}">
  <ds:schemaRefs/>
</ds:datastoreItem>
</file>

<file path=customXml/itemProps11.xml><?xml version="1.0" encoding="utf-8"?>
<ds:datastoreItem xmlns:ds="http://schemas.openxmlformats.org/officeDocument/2006/customXml" ds:itemID="{B3C61924-D183-4981-BEB5-59993928E048}">
  <ds:schemaRefs/>
</ds:datastoreItem>
</file>

<file path=customXml/itemProps12.xml><?xml version="1.0" encoding="utf-8"?>
<ds:datastoreItem xmlns:ds="http://schemas.openxmlformats.org/officeDocument/2006/customXml" ds:itemID="{59D893AC-8AF1-48B3-A482-2485A06C0D40}">
  <ds:schemaRefs/>
</ds:datastoreItem>
</file>

<file path=customXml/itemProps13.xml><?xml version="1.0" encoding="utf-8"?>
<ds:datastoreItem xmlns:ds="http://schemas.openxmlformats.org/officeDocument/2006/customXml" ds:itemID="{03E4F3F4-0B29-42F9-BEAF-B1DEE2E7F0A6}">
  <ds:schemaRefs/>
</ds:datastoreItem>
</file>

<file path=customXml/itemProps14.xml><?xml version="1.0" encoding="utf-8"?>
<ds:datastoreItem xmlns:ds="http://schemas.openxmlformats.org/officeDocument/2006/customXml" ds:itemID="{744119CF-8142-4F36-9F97-75C55A27E779}">
  <ds:schemaRefs/>
</ds:datastoreItem>
</file>

<file path=customXml/itemProps15.xml><?xml version="1.0" encoding="utf-8"?>
<ds:datastoreItem xmlns:ds="http://schemas.openxmlformats.org/officeDocument/2006/customXml" ds:itemID="{78E2FF03-4821-4C20-8DAA-17F506469EEF}">
  <ds:schemaRefs/>
</ds:datastoreItem>
</file>

<file path=customXml/itemProps16.xml><?xml version="1.0" encoding="utf-8"?>
<ds:datastoreItem xmlns:ds="http://schemas.openxmlformats.org/officeDocument/2006/customXml" ds:itemID="{2A9E163E-1920-4126-9BEA-DA57831C16B6}">
  <ds:schemaRefs/>
</ds:datastoreItem>
</file>

<file path=customXml/itemProps17.xml><?xml version="1.0" encoding="utf-8"?>
<ds:datastoreItem xmlns:ds="http://schemas.openxmlformats.org/officeDocument/2006/customXml" ds:itemID="{8CF56855-B1AB-4399-A702-F4A3C785798D}">
  <ds:schemaRefs/>
</ds:datastoreItem>
</file>

<file path=customXml/itemProps18.xml><?xml version="1.0" encoding="utf-8"?>
<ds:datastoreItem xmlns:ds="http://schemas.openxmlformats.org/officeDocument/2006/customXml" ds:itemID="{5D5ACBEB-3098-4BE3-90A4-B34E82FA5695}">
  <ds:schemaRefs/>
</ds:datastoreItem>
</file>

<file path=customXml/itemProps19.xml><?xml version="1.0" encoding="utf-8"?>
<ds:datastoreItem xmlns:ds="http://schemas.openxmlformats.org/officeDocument/2006/customXml" ds:itemID="{98340B4E-A866-46AE-8167-AB6B56A3BDA2}">
  <ds:schemaRefs/>
</ds:datastoreItem>
</file>

<file path=customXml/itemProps20.xml><?xml version="1.0" encoding="utf-8"?>
<ds:datastoreItem xmlns:ds="http://schemas.openxmlformats.org/officeDocument/2006/customXml" ds:itemID="{C32BF61F-506C-4562-8B2A-4EFFDEDEE357}">
  <ds:schemaRefs/>
</ds:datastoreItem>
</file>

<file path=customXml/itemProps21.xml><?xml version="1.0" encoding="utf-8"?>
<ds:datastoreItem xmlns:ds="http://schemas.openxmlformats.org/officeDocument/2006/customXml" ds:itemID="{48E99316-BC07-493E-AB43-0CA01513B4C8}">
  <ds:schemaRefs/>
</ds:datastoreItem>
</file>

<file path=customXml/itemProps22.xml><?xml version="1.0" encoding="utf-8"?>
<ds:datastoreItem xmlns:ds="http://schemas.openxmlformats.org/officeDocument/2006/customXml" ds:itemID="{58A8200E-F0F7-4C51-BEA0-D0FC807E6B2F}">
  <ds:schemaRefs/>
</ds:datastoreItem>
</file>

<file path=customXml/itemProps23.xml><?xml version="1.0" encoding="utf-8"?>
<ds:datastoreItem xmlns:ds="http://schemas.openxmlformats.org/officeDocument/2006/customXml" ds:itemID="{0FCA7FCF-E153-439F-AA99-8987B72F96E6}">
  <ds:schemaRefs/>
</ds:datastoreItem>
</file>

<file path=customXml/itemProps24.xml><?xml version="1.0" encoding="utf-8"?>
<ds:datastoreItem xmlns:ds="http://schemas.openxmlformats.org/officeDocument/2006/customXml" ds:itemID="{93214A12-6646-4206-AB7B-6CF72B3E1ADE}">
  <ds:schemaRefs/>
</ds:datastoreItem>
</file>

<file path=customXml/itemProps25.xml><?xml version="1.0" encoding="utf-8"?>
<ds:datastoreItem xmlns:ds="http://schemas.openxmlformats.org/officeDocument/2006/customXml" ds:itemID="{02CF8B2B-60D9-43B7-90C1-4ACC5E291190}">
  <ds:schemaRefs/>
</ds:datastoreItem>
</file>

<file path=customXml/itemProps26.xml><?xml version="1.0" encoding="utf-8"?>
<ds:datastoreItem xmlns:ds="http://schemas.openxmlformats.org/officeDocument/2006/customXml" ds:itemID="{1D4B727E-78BA-4218-A61A-DF7A2E8538CA}">
  <ds:schemaRefs/>
</ds:datastoreItem>
</file>

<file path=customXml/itemProps27.xml><?xml version="1.0" encoding="utf-8"?>
<ds:datastoreItem xmlns:ds="http://schemas.openxmlformats.org/officeDocument/2006/customXml" ds:itemID="{DF084B58-5340-4C56-83B3-DB6FAD0CC783}">
  <ds:schemaRefs/>
</ds:datastoreItem>
</file>

<file path=customXml/itemProps28.xml><?xml version="1.0" encoding="utf-8"?>
<ds:datastoreItem xmlns:ds="http://schemas.openxmlformats.org/officeDocument/2006/customXml" ds:itemID="{D602ADB6-1AAB-497C-A47B-E6C732E6B444}">
  <ds:schemaRefs/>
</ds:datastoreItem>
</file>

<file path=customXml/itemProps29.xml><?xml version="1.0" encoding="utf-8"?>
<ds:datastoreItem xmlns:ds="http://schemas.openxmlformats.org/officeDocument/2006/customXml" ds:itemID="{8EFF5254-3E4A-46D8-87E6-7B79383800F2}">
  <ds:schemaRefs/>
</ds:datastoreItem>
</file>

<file path=customXml/itemProps30.xml><?xml version="1.0" encoding="utf-8"?>
<ds:datastoreItem xmlns:ds="http://schemas.openxmlformats.org/officeDocument/2006/customXml" ds:itemID="{72A0AD7C-2F60-4FFC-9121-363CCAD03B5F}">
  <ds:schemaRefs/>
</ds:datastoreItem>
</file>

<file path=customXml/itemProps31.xml><?xml version="1.0" encoding="utf-8"?>
<ds:datastoreItem xmlns:ds="http://schemas.openxmlformats.org/officeDocument/2006/customXml" ds:itemID="{9E6C5D29-0BD6-4B85-9B22-C5BFC2210953}">
  <ds:schemaRefs/>
</ds:datastoreItem>
</file>

<file path=customXml/itemProps32.xml><?xml version="1.0" encoding="utf-8"?>
<ds:datastoreItem xmlns:ds="http://schemas.openxmlformats.org/officeDocument/2006/customXml" ds:itemID="{7BDA6FE5-A602-4D7F-8AE6-DC7FC04585B7}">
  <ds:schemaRefs/>
</ds:datastoreItem>
</file>

<file path=customXml/itemProps33.xml><?xml version="1.0" encoding="utf-8"?>
<ds:datastoreItem xmlns:ds="http://schemas.openxmlformats.org/officeDocument/2006/customXml" ds:itemID="{3C48B689-BCF9-4B6D-B3FC-DA2BF2F340D5}">
  <ds:schemaRefs/>
</ds:datastoreItem>
</file>

<file path=customXml/itemProps34.xml><?xml version="1.0" encoding="utf-8"?>
<ds:datastoreItem xmlns:ds="http://schemas.openxmlformats.org/officeDocument/2006/customXml" ds:itemID="{4E55974B-78DA-4D2B-9977-D8D8390DF8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PRE.VISUAL</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Tawfiq</dc:creator>
  <cp:lastModifiedBy>Christina Tawfiq</cp:lastModifiedBy>
  <dcterms:created xsi:type="dcterms:W3CDTF">2026-09-21T08:27:35Z</dcterms:created>
  <dcterms:modified xsi:type="dcterms:W3CDTF">2026-09-30T18:56:46Z</dcterms:modified>
</cp:coreProperties>
</file>